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gen\source\repos\nstu-v2\Numerical_computations\lab4\"/>
    </mc:Choice>
  </mc:AlternateContent>
  <xr:revisionPtr revIDLastSave="0" documentId="13_ncr:1_{696AA531-4A36-4D12-9764-8A89DC70DEF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Верификация" sheetId="3" r:id="rId1"/>
    <sheet name="Прямоугольники" sheetId="4" r:id="rId2"/>
    <sheet name="Симпсон" sheetId="5" r:id="rId3"/>
    <sheet name="Ньютон Котес 4" sheetId="6" r:id="rId4"/>
    <sheet name="Двойная точность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3" l="1"/>
  <c r="H34" i="3"/>
  <c r="H32" i="3"/>
  <c r="H23" i="3"/>
  <c r="H21" i="3"/>
  <c r="H19" i="3"/>
  <c r="H10" i="3"/>
  <c r="H8" i="3"/>
  <c r="H6" i="3"/>
  <c r="F108" i="7" l="1"/>
  <c r="E108" i="7"/>
  <c r="F107" i="7"/>
  <c r="G108" i="7" s="1"/>
  <c r="H108" i="7" s="1"/>
  <c r="I108" i="7" s="1"/>
  <c r="E107" i="7"/>
  <c r="F106" i="7"/>
  <c r="D107" i="7" s="1"/>
  <c r="E106" i="7"/>
  <c r="F105" i="7"/>
  <c r="E105" i="7"/>
  <c r="F104" i="7"/>
  <c r="G105" i="7" s="1"/>
  <c r="H105" i="7" s="1"/>
  <c r="I105" i="7" s="1"/>
  <c r="E104" i="7"/>
  <c r="F103" i="7"/>
  <c r="G104" i="7" s="1"/>
  <c r="H104" i="7" s="1"/>
  <c r="I104" i="7" s="1"/>
  <c r="E103" i="7"/>
  <c r="F102" i="7"/>
  <c r="G103" i="7" s="1"/>
  <c r="H103" i="7" s="1"/>
  <c r="I103" i="7" s="1"/>
  <c r="E102" i="7"/>
  <c r="F101" i="7"/>
  <c r="D102" i="7" s="1"/>
  <c r="E101" i="7"/>
  <c r="F100" i="7"/>
  <c r="G101" i="7" s="1"/>
  <c r="H101" i="7" s="1"/>
  <c r="I101" i="7" s="1"/>
  <c r="E100" i="7"/>
  <c r="F99" i="7"/>
  <c r="D100" i="7" s="1"/>
  <c r="E99" i="7"/>
  <c r="F98" i="7"/>
  <c r="G99" i="7" s="1"/>
  <c r="H99" i="7" s="1"/>
  <c r="I99" i="7" s="1"/>
  <c r="E98" i="7"/>
  <c r="F97" i="7"/>
  <c r="G98" i="7" s="1"/>
  <c r="H98" i="7" s="1"/>
  <c r="I98" i="7" s="1"/>
  <c r="E97" i="7"/>
  <c r="F96" i="7"/>
  <c r="G97" i="7" s="1"/>
  <c r="H97" i="7" s="1"/>
  <c r="I97" i="7" s="1"/>
  <c r="E96" i="7"/>
  <c r="F95" i="7"/>
  <c r="G96" i="7" s="1"/>
  <c r="H96" i="7" s="1"/>
  <c r="I96" i="7" s="1"/>
  <c r="E95" i="7"/>
  <c r="F94" i="7"/>
  <c r="D95" i="7" s="1"/>
  <c r="E94" i="7"/>
  <c r="F93" i="7"/>
  <c r="G94" i="7" s="1"/>
  <c r="H94" i="7" s="1"/>
  <c r="I94" i="7" s="1"/>
  <c r="E93" i="7"/>
  <c r="F92" i="7"/>
  <c r="E92" i="7"/>
  <c r="F91" i="7"/>
  <c r="G92" i="7" s="1"/>
  <c r="H92" i="7" s="1"/>
  <c r="I92" i="7" s="1"/>
  <c r="E91" i="7"/>
  <c r="F90" i="7"/>
  <c r="G91" i="7" s="1"/>
  <c r="H91" i="7" s="1"/>
  <c r="I91" i="7" s="1"/>
  <c r="E90" i="7"/>
  <c r="F89" i="7"/>
  <c r="G90" i="7" s="1"/>
  <c r="H90" i="7" s="1"/>
  <c r="I90" i="7" s="1"/>
  <c r="E89" i="7"/>
  <c r="F88" i="7"/>
  <c r="G89" i="7" s="1"/>
  <c r="H89" i="7" s="1"/>
  <c r="I89" i="7" s="1"/>
  <c r="E88" i="7"/>
  <c r="F87" i="7"/>
  <c r="E87" i="7"/>
  <c r="F86" i="7"/>
  <c r="G87" i="7" s="1"/>
  <c r="H87" i="7" s="1"/>
  <c r="I87" i="7" s="1"/>
  <c r="E86" i="7"/>
  <c r="F85" i="7"/>
  <c r="G86" i="7" s="1"/>
  <c r="H86" i="7" s="1"/>
  <c r="I86" i="7" s="1"/>
  <c r="E85" i="7"/>
  <c r="F84" i="7"/>
  <c r="D85" i="7" s="1"/>
  <c r="E84" i="7"/>
  <c r="F83" i="7"/>
  <c r="G84" i="7" s="1"/>
  <c r="H84" i="7" s="1"/>
  <c r="I84" i="7" s="1"/>
  <c r="E83" i="7"/>
  <c r="F82" i="7"/>
  <c r="E82" i="7"/>
  <c r="A82" i="7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F81" i="7"/>
  <c r="G82" i="7" s="1"/>
  <c r="H82" i="7" s="1"/>
  <c r="I82" i="7" s="1"/>
  <c r="F71" i="7"/>
  <c r="E71" i="7"/>
  <c r="F70" i="7"/>
  <c r="G71" i="7" s="1"/>
  <c r="E70" i="7"/>
  <c r="F69" i="7"/>
  <c r="G70" i="7" s="1"/>
  <c r="E69" i="7"/>
  <c r="F68" i="7"/>
  <c r="G69" i="7" s="1"/>
  <c r="E68" i="7"/>
  <c r="F67" i="7"/>
  <c r="G68" i="7" s="1"/>
  <c r="E67" i="7"/>
  <c r="F66" i="7"/>
  <c r="G67" i="7" s="1"/>
  <c r="E66" i="7"/>
  <c r="F65" i="7"/>
  <c r="G66" i="7" s="1"/>
  <c r="E65" i="7"/>
  <c r="F64" i="7"/>
  <c r="G65" i="7" s="1"/>
  <c r="E64" i="7"/>
  <c r="F63" i="7"/>
  <c r="E63" i="7"/>
  <c r="F62" i="7"/>
  <c r="G63" i="7" s="1"/>
  <c r="E62" i="7"/>
  <c r="F61" i="7"/>
  <c r="E61" i="7"/>
  <c r="F60" i="7"/>
  <c r="G61" i="7" s="1"/>
  <c r="E60" i="7"/>
  <c r="F59" i="7"/>
  <c r="G60" i="7" s="1"/>
  <c r="E59" i="7"/>
  <c r="F58" i="7"/>
  <c r="G59" i="7" s="1"/>
  <c r="E58" i="7"/>
  <c r="F57" i="7"/>
  <c r="G58" i="7" s="1"/>
  <c r="E57" i="7"/>
  <c r="F56" i="7"/>
  <c r="G57" i="7" s="1"/>
  <c r="E56" i="7"/>
  <c r="F55" i="7"/>
  <c r="D56" i="7" s="1"/>
  <c r="E55" i="7"/>
  <c r="F54" i="7"/>
  <c r="G55" i="7" s="1"/>
  <c r="E54" i="7"/>
  <c r="F53" i="7"/>
  <c r="G54" i="7" s="1"/>
  <c r="E53" i="7"/>
  <c r="F52" i="7"/>
  <c r="G53" i="7" s="1"/>
  <c r="E52" i="7"/>
  <c r="F51" i="7"/>
  <c r="G52" i="7" s="1"/>
  <c r="E51" i="7"/>
  <c r="F50" i="7"/>
  <c r="G51" i="7" s="1"/>
  <c r="E50" i="7"/>
  <c r="F49" i="7"/>
  <c r="E49" i="7"/>
  <c r="F48" i="7"/>
  <c r="G49" i="7" s="1"/>
  <c r="E48" i="7"/>
  <c r="F47" i="7"/>
  <c r="G48" i="7" s="1"/>
  <c r="E47" i="7"/>
  <c r="F46" i="7"/>
  <c r="G47" i="7" s="1"/>
  <c r="E46" i="7"/>
  <c r="F45" i="7"/>
  <c r="G46" i="7" s="1"/>
  <c r="E45" i="7"/>
  <c r="A45" i="7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F44" i="7"/>
  <c r="E34" i="7"/>
  <c r="F34" i="7"/>
  <c r="E31" i="7"/>
  <c r="F31" i="7"/>
  <c r="G32" i="7" s="1"/>
  <c r="H32" i="7" s="1"/>
  <c r="I32" i="7" s="1"/>
  <c r="E32" i="7"/>
  <c r="F32" i="7"/>
  <c r="D33" i="7" s="1"/>
  <c r="E33" i="7"/>
  <c r="F33" i="7"/>
  <c r="G34" i="7" s="1"/>
  <c r="H34" i="7" s="1"/>
  <c r="I34" i="7" s="1"/>
  <c r="F30" i="7"/>
  <c r="G31" i="7" s="1"/>
  <c r="H31" i="7" s="1"/>
  <c r="I31" i="7" s="1"/>
  <c r="E30" i="7"/>
  <c r="F29" i="7"/>
  <c r="G30" i="7" s="1"/>
  <c r="H30" i="7" s="1"/>
  <c r="I30" i="7" s="1"/>
  <c r="E29" i="7"/>
  <c r="F28" i="7"/>
  <c r="G29" i="7" s="1"/>
  <c r="H29" i="7" s="1"/>
  <c r="I29" i="7" s="1"/>
  <c r="E28" i="7"/>
  <c r="F27" i="7"/>
  <c r="G28" i="7" s="1"/>
  <c r="H28" i="7" s="1"/>
  <c r="I28" i="7" s="1"/>
  <c r="E27" i="7"/>
  <c r="F26" i="7"/>
  <c r="D27" i="7" s="1"/>
  <c r="E26" i="7"/>
  <c r="F25" i="7"/>
  <c r="G26" i="7" s="1"/>
  <c r="H26" i="7" s="1"/>
  <c r="I26" i="7" s="1"/>
  <c r="E25" i="7"/>
  <c r="F24" i="7"/>
  <c r="E24" i="7"/>
  <c r="F23" i="7"/>
  <c r="D24" i="7" s="1"/>
  <c r="E23" i="7"/>
  <c r="F22" i="7"/>
  <c r="G23" i="7" s="1"/>
  <c r="H23" i="7" s="1"/>
  <c r="I23" i="7" s="1"/>
  <c r="E22" i="7"/>
  <c r="F21" i="7"/>
  <c r="G22" i="7" s="1"/>
  <c r="H22" i="7" s="1"/>
  <c r="I22" i="7" s="1"/>
  <c r="E21" i="7"/>
  <c r="F20" i="7"/>
  <c r="G21" i="7" s="1"/>
  <c r="H21" i="7" s="1"/>
  <c r="I21" i="7" s="1"/>
  <c r="E20" i="7"/>
  <c r="F19" i="7"/>
  <c r="G20" i="7" s="1"/>
  <c r="H20" i="7" s="1"/>
  <c r="I20" i="7" s="1"/>
  <c r="E19" i="7"/>
  <c r="F18" i="7"/>
  <c r="G19" i="7" s="1"/>
  <c r="H19" i="7" s="1"/>
  <c r="I19" i="7" s="1"/>
  <c r="E18" i="7"/>
  <c r="F17" i="7"/>
  <c r="D18" i="7" s="1"/>
  <c r="E17" i="7"/>
  <c r="F16" i="7"/>
  <c r="G17" i="7" s="1"/>
  <c r="H17" i="7" s="1"/>
  <c r="I17" i="7" s="1"/>
  <c r="E16" i="7"/>
  <c r="F15" i="7"/>
  <c r="E15" i="7"/>
  <c r="F14" i="7"/>
  <c r="G15" i="7" s="1"/>
  <c r="H15" i="7" s="1"/>
  <c r="I15" i="7" s="1"/>
  <c r="E14" i="7"/>
  <c r="F13" i="7"/>
  <c r="G14" i="7" s="1"/>
  <c r="H14" i="7" s="1"/>
  <c r="I14" i="7" s="1"/>
  <c r="E13" i="7"/>
  <c r="F12" i="7"/>
  <c r="G13" i="7" s="1"/>
  <c r="H13" i="7" s="1"/>
  <c r="I13" i="7" s="1"/>
  <c r="E12" i="7"/>
  <c r="F11" i="7"/>
  <c r="G12" i="7" s="1"/>
  <c r="H12" i="7" s="1"/>
  <c r="I12" i="7" s="1"/>
  <c r="E11" i="7"/>
  <c r="F10" i="7"/>
  <c r="G11" i="7" s="1"/>
  <c r="H11" i="7" s="1"/>
  <c r="I11" i="7" s="1"/>
  <c r="E10" i="7"/>
  <c r="F9" i="7"/>
  <c r="E9" i="7"/>
  <c r="F8" i="7"/>
  <c r="G9" i="7" s="1"/>
  <c r="H9" i="7" s="1"/>
  <c r="I9" i="7" s="1"/>
  <c r="E8" i="7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F7" i="7"/>
  <c r="G8" i="7" s="1"/>
  <c r="H8" i="7" s="1"/>
  <c r="I8" i="7" s="1"/>
  <c r="F63" i="6"/>
  <c r="E63" i="6"/>
  <c r="F62" i="6"/>
  <c r="G63" i="6" s="1"/>
  <c r="H63" i="6" s="1"/>
  <c r="I63" i="6" s="1"/>
  <c r="E62" i="6"/>
  <c r="F61" i="6"/>
  <c r="G62" i="6" s="1"/>
  <c r="H62" i="6" s="1"/>
  <c r="I62" i="6" s="1"/>
  <c r="E61" i="6"/>
  <c r="F60" i="6"/>
  <c r="G61" i="6" s="1"/>
  <c r="H61" i="6" s="1"/>
  <c r="I61" i="6" s="1"/>
  <c r="E60" i="6"/>
  <c r="F59" i="6"/>
  <c r="G60" i="6" s="1"/>
  <c r="H60" i="6" s="1"/>
  <c r="I60" i="6" s="1"/>
  <c r="E59" i="6"/>
  <c r="F58" i="6"/>
  <c r="G59" i="6" s="1"/>
  <c r="H59" i="6" s="1"/>
  <c r="I59" i="6" s="1"/>
  <c r="E58" i="6"/>
  <c r="F57" i="6"/>
  <c r="G58" i="6" s="1"/>
  <c r="H58" i="6" s="1"/>
  <c r="I58" i="6" s="1"/>
  <c r="E57" i="6"/>
  <c r="F56" i="6"/>
  <c r="G57" i="6" s="1"/>
  <c r="H57" i="6" s="1"/>
  <c r="I57" i="6" s="1"/>
  <c r="E56" i="6"/>
  <c r="F55" i="6"/>
  <c r="G56" i="6" s="1"/>
  <c r="H56" i="6" s="1"/>
  <c r="I56" i="6" s="1"/>
  <c r="E55" i="6"/>
  <c r="F54" i="6"/>
  <c r="G55" i="6" s="1"/>
  <c r="H55" i="6" s="1"/>
  <c r="I55" i="6" s="1"/>
  <c r="E54" i="6"/>
  <c r="F53" i="6"/>
  <c r="G54" i="6" s="1"/>
  <c r="H54" i="6" s="1"/>
  <c r="I54" i="6" s="1"/>
  <c r="E53" i="6"/>
  <c r="F52" i="6"/>
  <c r="G53" i="6" s="1"/>
  <c r="H53" i="6" s="1"/>
  <c r="I53" i="6" s="1"/>
  <c r="E52" i="6"/>
  <c r="F51" i="6"/>
  <c r="G52" i="6" s="1"/>
  <c r="H52" i="6" s="1"/>
  <c r="I52" i="6" s="1"/>
  <c r="E51" i="6"/>
  <c r="F50" i="6"/>
  <c r="G51" i="6" s="1"/>
  <c r="H51" i="6" s="1"/>
  <c r="I51" i="6" s="1"/>
  <c r="E50" i="6"/>
  <c r="G49" i="6"/>
  <c r="H49" i="6" s="1"/>
  <c r="I49" i="6" s="1"/>
  <c r="F49" i="6"/>
  <c r="E49" i="6"/>
  <c r="F48" i="6"/>
  <c r="D49" i="6" s="1"/>
  <c r="E48" i="6"/>
  <c r="F47" i="6"/>
  <c r="G48" i="6" s="1"/>
  <c r="H48" i="6" s="1"/>
  <c r="I48" i="6" s="1"/>
  <c r="E47" i="6"/>
  <c r="F46" i="6"/>
  <c r="G47" i="6" s="1"/>
  <c r="H47" i="6" s="1"/>
  <c r="I47" i="6" s="1"/>
  <c r="E46" i="6"/>
  <c r="G45" i="6"/>
  <c r="H45" i="6" s="1"/>
  <c r="I45" i="6" s="1"/>
  <c r="F45" i="6"/>
  <c r="G46" i="6" s="1"/>
  <c r="H46" i="6" s="1"/>
  <c r="I46" i="6" s="1"/>
  <c r="E45" i="6"/>
  <c r="F44" i="6"/>
  <c r="E44" i="6"/>
  <c r="F43" i="6"/>
  <c r="G44" i="6" s="1"/>
  <c r="H44" i="6" s="1"/>
  <c r="I44" i="6" s="1"/>
  <c r="E43" i="6"/>
  <c r="F42" i="6"/>
  <c r="D43" i="6" s="1"/>
  <c r="E42" i="6"/>
  <c r="A42" i="6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F41" i="6"/>
  <c r="E41" i="6"/>
  <c r="A41" i="6"/>
  <c r="F40" i="6"/>
  <c r="G41" i="6" s="1"/>
  <c r="H41" i="6" s="1"/>
  <c r="I41" i="6" s="1"/>
  <c r="F30" i="6"/>
  <c r="E30" i="6"/>
  <c r="F29" i="6"/>
  <c r="G30" i="6" s="1"/>
  <c r="H30" i="6" s="1"/>
  <c r="I30" i="6" s="1"/>
  <c r="E29" i="6"/>
  <c r="F28" i="6"/>
  <c r="G29" i="6" s="1"/>
  <c r="H29" i="6" s="1"/>
  <c r="I29" i="6" s="1"/>
  <c r="E28" i="6"/>
  <c r="F27" i="6"/>
  <c r="D28" i="6" s="1"/>
  <c r="E27" i="6"/>
  <c r="F26" i="6"/>
  <c r="G27" i="6" s="1"/>
  <c r="H27" i="6" s="1"/>
  <c r="I27" i="6" s="1"/>
  <c r="E26" i="6"/>
  <c r="F25" i="6"/>
  <c r="G26" i="6" s="1"/>
  <c r="H26" i="6" s="1"/>
  <c r="I26" i="6" s="1"/>
  <c r="E25" i="6"/>
  <c r="F24" i="6"/>
  <c r="G25" i="6" s="1"/>
  <c r="H25" i="6" s="1"/>
  <c r="I25" i="6" s="1"/>
  <c r="E24" i="6"/>
  <c r="F23" i="6"/>
  <c r="G24" i="6" s="1"/>
  <c r="H24" i="6" s="1"/>
  <c r="I24" i="6" s="1"/>
  <c r="E23" i="6"/>
  <c r="F22" i="6"/>
  <c r="E22" i="6"/>
  <c r="G21" i="6"/>
  <c r="H21" i="6" s="1"/>
  <c r="I21" i="6" s="1"/>
  <c r="F21" i="6"/>
  <c r="G22" i="6" s="1"/>
  <c r="H22" i="6" s="1"/>
  <c r="I22" i="6" s="1"/>
  <c r="E21" i="6"/>
  <c r="F20" i="6"/>
  <c r="E20" i="6"/>
  <c r="F19" i="6"/>
  <c r="G20" i="6" s="1"/>
  <c r="H20" i="6" s="1"/>
  <c r="I20" i="6" s="1"/>
  <c r="E19" i="6"/>
  <c r="F18" i="6"/>
  <c r="G19" i="6" s="1"/>
  <c r="H19" i="6" s="1"/>
  <c r="I19" i="6" s="1"/>
  <c r="E18" i="6"/>
  <c r="F17" i="6"/>
  <c r="D18" i="6" s="1"/>
  <c r="E17" i="6"/>
  <c r="F16" i="6"/>
  <c r="G17" i="6" s="1"/>
  <c r="H17" i="6" s="1"/>
  <c r="I17" i="6" s="1"/>
  <c r="E16" i="6"/>
  <c r="F15" i="6"/>
  <c r="E15" i="6"/>
  <c r="F14" i="6"/>
  <c r="G15" i="6" s="1"/>
  <c r="H15" i="6" s="1"/>
  <c r="I15" i="6" s="1"/>
  <c r="E14" i="6"/>
  <c r="F13" i="6"/>
  <c r="G14" i="6" s="1"/>
  <c r="H14" i="6" s="1"/>
  <c r="I14" i="6" s="1"/>
  <c r="E13" i="6"/>
  <c r="F12" i="6"/>
  <c r="G13" i="6" s="1"/>
  <c r="H13" i="6" s="1"/>
  <c r="I13" i="6" s="1"/>
  <c r="E12" i="6"/>
  <c r="F11" i="6"/>
  <c r="G12" i="6" s="1"/>
  <c r="H12" i="6" s="1"/>
  <c r="I12" i="6" s="1"/>
  <c r="E11" i="6"/>
  <c r="F10" i="6"/>
  <c r="E10" i="6"/>
  <c r="F9" i="6"/>
  <c r="G10" i="6" s="1"/>
  <c r="H10" i="6" s="1"/>
  <c r="I10" i="6" s="1"/>
  <c r="E9" i="6"/>
  <c r="A9" i="6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F8" i="6"/>
  <c r="G9" i="6" s="1"/>
  <c r="H9" i="6" s="1"/>
  <c r="I9" i="6" s="1"/>
  <c r="E8" i="6"/>
  <c r="A8" i="6"/>
  <c r="F7" i="6"/>
  <c r="G8" i="6" s="1"/>
  <c r="H8" i="6" s="1"/>
  <c r="I8" i="6" s="1"/>
  <c r="F63" i="5"/>
  <c r="E63" i="5"/>
  <c r="F62" i="5"/>
  <c r="G63" i="5" s="1"/>
  <c r="E62" i="5"/>
  <c r="F61" i="5"/>
  <c r="E61" i="5"/>
  <c r="F60" i="5"/>
  <c r="G61" i="5" s="1"/>
  <c r="E60" i="5"/>
  <c r="F59" i="5"/>
  <c r="G60" i="5" s="1"/>
  <c r="H60" i="5" s="1"/>
  <c r="I60" i="5" s="1"/>
  <c r="E59" i="5"/>
  <c r="F58" i="5"/>
  <c r="G59" i="5" s="1"/>
  <c r="E58" i="5"/>
  <c r="F57" i="5"/>
  <c r="G58" i="5" s="1"/>
  <c r="E57" i="5"/>
  <c r="F56" i="5"/>
  <c r="G57" i="5" s="1"/>
  <c r="E56" i="5"/>
  <c r="F55" i="5"/>
  <c r="E55" i="5"/>
  <c r="F54" i="5"/>
  <c r="E54" i="5"/>
  <c r="F53" i="5"/>
  <c r="E53" i="5"/>
  <c r="F52" i="5"/>
  <c r="E52" i="5"/>
  <c r="F51" i="5"/>
  <c r="G52" i="5" s="1"/>
  <c r="H52" i="5" s="1"/>
  <c r="I52" i="5" s="1"/>
  <c r="E51" i="5"/>
  <c r="F50" i="5"/>
  <c r="G51" i="5" s="1"/>
  <c r="E50" i="5"/>
  <c r="F49" i="5"/>
  <c r="E49" i="5"/>
  <c r="F48" i="5"/>
  <c r="G49" i="5" s="1"/>
  <c r="E48" i="5"/>
  <c r="F47" i="5"/>
  <c r="G48" i="5" s="1"/>
  <c r="H48" i="5" s="1"/>
  <c r="I48" i="5" s="1"/>
  <c r="E47" i="5"/>
  <c r="F46" i="5"/>
  <c r="G47" i="5" s="1"/>
  <c r="E46" i="5"/>
  <c r="F45" i="5"/>
  <c r="G46" i="5" s="1"/>
  <c r="E45" i="5"/>
  <c r="F44" i="5"/>
  <c r="E44" i="5"/>
  <c r="F43" i="5"/>
  <c r="G44" i="5" s="1"/>
  <c r="E43" i="5"/>
  <c r="F42" i="5"/>
  <c r="E42" i="5"/>
  <c r="A42" i="5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F41" i="5"/>
  <c r="E41" i="5"/>
  <c r="A41" i="5"/>
  <c r="F40" i="5"/>
  <c r="G41" i="5" s="1"/>
  <c r="F30" i="5"/>
  <c r="E30" i="5"/>
  <c r="F29" i="5"/>
  <c r="G30" i="5" s="1"/>
  <c r="E29" i="5"/>
  <c r="F28" i="5"/>
  <c r="E28" i="5"/>
  <c r="F27" i="5"/>
  <c r="E27" i="5"/>
  <c r="F26" i="5"/>
  <c r="G27" i="5" s="1"/>
  <c r="E26" i="5"/>
  <c r="F25" i="5"/>
  <c r="G26" i="5" s="1"/>
  <c r="E25" i="5"/>
  <c r="F24" i="5"/>
  <c r="G25" i="5" s="1"/>
  <c r="E24" i="5"/>
  <c r="F23" i="5"/>
  <c r="E23" i="5"/>
  <c r="F22" i="5"/>
  <c r="E22" i="5"/>
  <c r="F21" i="5"/>
  <c r="E21" i="5"/>
  <c r="F20" i="5"/>
  <c r="G21" i="5" s="1"/>
  <c r="E20" i="5"/>
  <c r="F19" i="5"/>
  <c r="G20" i="5" s="1"/>
  <c r="E19" i="5"/>
  <c r="F18" i="5"/>
  <c r="G19" i="5" s="1"/>
  <c r="E18" i="5"/>
  <c r="F17" i="5"/>
  <c r="E17" i="5"/>
  <c r="F16" i="5"/>
  <c r="E16" i="5"/>
  <c r="F15" i="5"/>
  <c r="G16" i="5" s="1"/>
  <c r="E15" i="5"/>
  <c r="F14" i="5"/>
  <c r="G15" i="5" s="1"/>
  <c r="E14" i="5"/>
  <c r="F13" i="5"/>
  <c r="G14" i="5" s="1"/>
  <c r="E13" i="5"/>
  <c r="F12" i="5"/>
  <c r="G13" i="5" s="1"/>
  <c r="E12" i="5"/>
  <c r="F11" i="5"/>
  <c r="E11" i="5"/>
  <c r="F10" i="5"/>
  <c r="E10" i="5"/>
  <c r="F9" i="5"/>
  <c r="E9" i="5"/>
  <c r="F8" i="5"/>
  <c r="G9" i="5" s="1"/>
  <c r="E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F7" i="5"/>
  <c r="G8" i="5" s="1"/>
  <c r="E42" i="4"/>
  <c r="F42" i="4"/>
  <c r="G42" i="4"/>
  <c r="H42" i="4" s="1"/>
  <c r="I42" i="4" s="1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F40" i="4"/>
  <c r="F41" i="4"/>
  <c r="A43" i="4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42" i="4"/>
  <c r="E41" i="4"/>
  <c r="A41" i="4"/>
  <c r="G41" i="4"/>
  <c r="H41" i="4" s="1"/>
  <c r="I41" i="4" s="1"/>
  <c r="E26" i="4"/>
  <c r="F26" i="4"/>
  <c r="G27" i="4" s="1"/>
  <c r="H27" i="4" s="1"/>
  <c r="I27" i="4" s="1"/>
  <c r="E27" i="4"/>
  <c r="F27" i="4"/>
  <c r="E28" i="4"/>
  <c r="F28" i="4"/>
  <c r="G29" i="4" s="1"/>
  <c r="H29" i="4" s="1"/>
  <c r="I29" i="4" s="1"/>
  <c r="E29" i="4"/>
  <c r="F29" i="4"/>
  <c r="E30" i="4"/>
  <c r="F30" i="4"/>
  <c r="A26" i="4"/>
  <c r="A27" i="4" s="1"/>
  <c r="A28" i="4" s="1"/>
  <c r="A29" i="4" s="1"/>
  <c r="A30" i="4" s="1"/>
  <c r="E22" i="4"/>
  <c r="F22" i="4"/>
  <c r="E23" i="4"/>
  <c r="F23" i="4"/>
  <c r="E24" i="4"/>
  <c r="F24" i="4"/>
  <c r="E25" i="4"/>
  <c r="F25" i="4"/>
  <c r="G26" i="4" s="1"/>
  <c r="H26" i="4" s="1"/>
  <c r="I26" i="4" s="1"/>
  <c r="E20" i="4"/>
  <c r="F20" i="4"/>
  <c r="G21" i="4" s="1"/>
  <c r="H21" i="4" s="1"/>
  <c r="I21" i="4" s="1"/>
  <c r="E21" i="4"/>
  <c r="F21" i="4"/>
  <c r="G22" i="4" s="1"/>
  <c r="H22" i="4" s="1"/>
  <c r="I22" i="4" s="1"/>
  <c r="E9" i="4"/>
  <c r="F9" i="4"/>
  <c r="G10" i="4" s="1"/>
  <c r="H10" i="4" s="1"/>
  <c r="I10" i="4" s="1"/>
  <c r="E10" i="4"/>
  <c r="F10" i="4"/>
  <c r="E11" i="4"/>
  <c r="F11" i="4"/>
  <c r="G12" i="4" s="1"/>
  <c r="H12" i="4" s="1"/>
  <c r="I12" i="4" s="1"/>
  <c r="E12" i="4"/>
  <c r="F12" i="4"/>
  <c r="E13" i="4"/>
  <c r="F13" i="4"/>
  <c r="G14" i="4" s="1"/>
  <c r="H14" i="4" s="1"/>
  <c r="I14" i="4" s="1"/>
  <c r="E14" i="4"/>
  <c r="F14" i="4"/>
  <c r="E15" i="4"/>
  <c r="F15" i="4"/>
  <c r="G16" i="4" s="1"/>
  <c r="H16" i="4" s="1"/>
  <c r="I16" i="4" s="1"/>
  <c r="E16" i="4"/>
  <c r="F16" i="4"/>
  <c r="E17" i="4"/>
  <c r="F17" i="4"/>
  <c r="G18" i="4" s="1"/>
  <c r="H18" i="4" s="1"/>
  <c r="I18" i="4" s="1"/>
  <c r="E18" i="4"/>
  <c r="F18" i="4"/>
  <c r="E19" i="4"/>
  <c r="F19" i="4"/>
  <c r="G20" i="4" s="1"/>
  <c r="H20" i="4" s="1"/>
  <c r="I20" i="4" s="1"/>
  <c r="E8" i="4"/>
  <c r="F8" i="4"/>
  <c r="G9" i="4" s="1"/>
  <c r="H9" i="4" s="1"/>
  <c r="I9" i="4" s="1"/>
  <c r="F7" i="4"/>
  <c r="D9" i="6" l="1"/>
  <c r="D59" i="4"/>
  <c r="D53" i="4"/>
  <c r="D42" i="4"/>
  <c r="D47" i="4"/>
  <c r="D63" i="4"/>
  <c r="D57" i="4"/>
  <c r="D51" i="4"/>
  <c r="D45" i="4"/>
  <c r="D62" i="5"/>
  <c r="D50" i="6"/>
  <c r="D41" i="6"/>
  <c r="D42" i="6"/>
  <c r="D11" i="6"/>
  <c r="D23" i="6"/>
  <c r="D15" i="4"/>
  <c r="D29" i="4"/>
  <c r="D22" i="4"/>
  <c r="D9" i="4"/>
  <c r="D8" i="4"/>
  <c r="D28" i="4"/>
  <c r="G8" i="4"/>
  <c r="H8" i="4" s="1"/>
  <c r="I8" i="4" s="1"/>
  <c r="D21" i="4"/>
  <c r="D20" i="4"/>
  <c r="D11" i="4"/>
  <c r="D26" i="4"/>
  <c r="D30" i="4"/>
  <c r="D90" i="7"/>
  <c r="D99" i="7"/>
  <c r="D105" i="7"/>
  <c r="G85" i="7"/>
  <c r="H85" i="7" s="1"/>
  <c r="I85" i="7" s="1"/>
  <c r="D92" i="7"/>
  <c r="D94" i="7"/>
  <c r="D88" i="7"/>
  <c r="D83" i="7"/>
  <c r="D93" i="7"/>
  <c r="D106" i="7"/>
  <c r="D87" i="7"/>
  <c r="G102" i="7"/>
  <c r="H102" i="7" s="1"/>
  <c r="I102" i="7" s="1"/>
  <c r="G83" i="7"/>
  <c r="H83" i="7" s="1"/>
  <c r="I83" i="7" s="1"/>
  <c r="G106" i="7"/>
  <c r="H106" i="7" s="1"/>
  <c r="I106" i="7" s="1"/>
  <c r="G95" i="7"/>
  <c r="H95" i="7" s="1"/>
  <c r="I95" i="7" s="1"/>
  <c r="D104" i="7"/>
  <c r="G107" i="7"/>
  <c r="H107" i="7" s="1"/>
  <c r="I107" i="7" s="1"/>
  <c r="G88" i="7"/>
  <c r="H88" i="7" s="1"/>
  <c r="I88" i="7" s="1"/>
  <c r="D97" i="7"/>
  <c r="G100" i="7"/>
  <c r="H100" i="7" s="1"/>
  <c r="I100" i="7" s="1"/>
  <c r="G93" i="7"/>
  <c r="H93" i="7" s="1"/>
  <c r="I93" i="7" s="1"/>
  <c r="D82" i="7"/>
  <c r="D84" i="7"/>
  <c r="D96" i="7"/>
  <c r="D108" i="7"/>
  <c r="D91" i="7"/>
  <c r="D103" i="7"/>
  <c r="D89" i="7"/>
  <c r="D101" i="7"/>
  <c r="D86" i="7"/>
  <c r="D98" i="7"/>
  <c r="G56" i="7"/>
  <c r="G64" i="7"/>
  <c r="H64" i="7" s="1"/>
  <c r="I64" i="7" s="1"/>
  <c r="G62" i="7"/>
  <c r="H62" i="7" s="1"/>
  <c r="I62" i="7" s="1"/>
  <c r="G50" i="7"/>
  <c r="H50" i="7" s="1"/>
  <c r="I50" i="7" s="1"/>
  <c r="G45" i="7"/>
  <c r="H45" i="7" s="1"/>
  <c r="I45" i="7" s="1"/>
  <c r="H49" i="7"/>
  <c r="I49" i="7" s="1"/>
  <c r="H55" i="7"/>
  <c r="I55" i="7" s="1"/>
  <c r="H61" i="7"/>
  <c r="I61" i="7" s="1"/>
  <c r="H57" i="7"/>
  <c r="I57" i="7" s="1"/>
  <c r="H69" i="7"/>
  <c r="I69" i="7" s="1"/>
  <c r="H52" i="7"/>
  <c r="I52" i="7" s="1"/>
  <c r="H47" i="7"/>
  <c r="I47" i="7" s="1"/>
  <c r="H53" i="7"/>
  <c r="I53" i="7" s="1"/>
  <c r="H59" i="7"/>
  <c r="I59" i="7" s="1"/>
  <c r="H65" i="7"/>
  <c r="I65" i="7" s="1"/>
  <c r="H71" i="7"/>
  <c r="I71" i="7" s="1"/>
  <c r="H54" i="7"/>
  <c r="I54" i="7" s="1"/>
  <c r="H66" i="7"/>
  <c r="I66" i="7" s="1"/>
  <c r="H67" i="7"/>
  <c r="I67" i="7" s="1"/>
  <c r="D58" i="7"/>
  <c r="D10" i="7"/>
  <c r="G10" i="7"/>
  <c r="H10" i="7" s="1"/>
  <c r="I10" i="7" s="1"/>
  <c r="D47" i="7"/>
  <c r="D34" i="7"/>
  <c r="D60" i="7"/>
  <c r="D64" i="7"/>
  <c r="D52" i="7"/>
  <c r="H60" i="7"/>
  <c r="I60" i="7" s="1"/>
  <c r="D65" i="7"/>
  <c r="D69" i="7"/>
  <c r="H48" i="7"/>
  <c r="I48" i="7" s="1"/>
  <c r="D53" i="7"/>
  <c r="D57" i="7"/>
  <c r="D61" i="7"/>
  <c r="D45" i="7"/>
  <c r="D49" i="7"/>
  <c r="D70" i="7"/>
  <c r="G18" i="7"/>
  <c r="H18" i="7" s="1"/>
  <c r="I18" i="7" s="1"/>
  <c r="D19" i="7"/>
  <c r="D31" i="7"/>
  <c r="D46" i="7"/>
  <c r="D50" i="7"/>
  <c r="D25" i="7"/>
  <c r="D30" i="7"/>
  <c r="D63" i="7"/>
  <c r="D51" i="7"/>
  <c r="D15" i="7"/>
  <c r="G25" i="7"/>
  <c r="H25" i="7" s="1"/>
  <c r="I25" i="7" s="1"/>
  <c r="D68" i="7"/>
  <c r="H68" i="7"/>
  <c r="I68" i="7" s="1"/>
  <c r="H46" i="7"/>
  <c r="I46" i="7" s="1"/>
  <c r="D55" i="7"/>
  <c r="H58" i="7"/>
  <c r="I58" i="7" s="1"/>
  <c r="D67" i="7"/>
  <c r="H70" i="7"/>
  <c r="I70" i="7" s="1"/>
  <c r="H56" i="7"/>
  <c r="I56" i="7" s="1"/>
  <c r="D48" i="7"/>
  <c r="H51" i="7"/>
  <c r="I51" i="7" s="1"/>
  <c r="H63" i="7"/>
  <c r="I63" i="7" s="1"/>
  <c r="D62" i="7"/>
  <c r="D59" i="7"/>
  <c r="D71" i="7"/>
  <c r="D54" i="7"/>
  <c r="D66" i="7"/>
  <c r="D32" i="7"/>
  <c r="G33" i="7"/>
  <c r="H33" i="7" s="1"/>
  <c r="I33" i="7" s="1"/>
  <c r="D12" i="7"/>
  <c r="D9" i="7"/>
  <c r="D13" i="7"/>
  <c r="G16" i="7"/>
  <c r="H16" i="7" s="1"/>
  <c r="I16" i="7" s="1"/>
  <c r="G27" i="7"/>
  <c r="H27" i="7" s="1"/>
  <c r="I27" i="7" s="1"/>
  <c r="G24" i="7"/>
  <c r="H24" i="7" s="1"/>
  <c r="I24" i="7" s="1"/>
  <c r="D16" i="7"/>
  <c r="D21" i="7"/>
  <c r="D28" i="7"/>
  <c r="D22" i="7"/>
  <c r="D8" i="7"/>
  <c r="D11" i="7"/>
  <c r="D14" i="7"/>
  <c r="D17" i="7"/>
  <c r="D20" i="7"/>
  <c r="D23" i="7"/>
  <c r="D26" i="7"/>
  <c r="D29" i="7"/>
  <c r="D47" i="6"/>
  <c r="G42" i="6"/>
  <c r="H42" i="6" s="1"/>
  <c r="I42" i="6" s="1"/>
  <c r="D53" i="6"/>
  <c r="D45" i="6"/>
  <c r="D22" i="6"/>
  <c r="G18" i="6"/>
  <c r="H18" i="6" s="1"/>
  <c r="I18" i="6" s="1"/>
  <c r="D10" i="6"/>
  <c r="D21" i="6"/>
  <c r="D57" i="6"/>
  <c r="D61" i="6"/>
  <c r="D54" i="6"/>
  <c r="D62" i="6"/>
  <c r="D55" i="6"/>
  <c r="G43" i="6"/>
  <c r="H43" i="6" s="1"/>
  <c r="I43" i="6" s="1"/>
  <c r="D48" i="6"/>
  <c r="G50" i="6"/>
  <c r="H50" i="6" s="1"/>
  <c r="I50" i="6" s="1"/>
  <c r="D59" i="6"/>
  <c r="D60" i="6"/>
  <c r="D14" i="6"/>
  <c r="D26" i="6"/>
  <c r="D30" i="6"/>
  <c r="D15" i="6"/>
  <c r="D27" i="6"/>
  <c r="D16" i="6"/>
  <c r="G11" i="6"/>
  <c r="H11" i="6" s="1"/>
  <c r="I11" i="6" s="1"/>
  <c r="D20" i="6"/>
  <c r="G23" i="6"/>
  <c r="H23" i="6" s="1"/>
  <c r="I23" i="6" s="1"/>
  <c r="G16" i="6"/>
  <c r="H16" i="6" s="1"/>
  <c r="I16" i="6" s="1"/>
  <c r="G28" i="6"/>
  <c r="H28" i="6" s="1"/>
  <c r="I28" i="6" s="1"/>
  <c r="D13" i="6"/>
  <c r="D25" i="6"/>
  <c r="D52" i="6"/>
  <c r="D8" i="6"/>
  <c r="D17" i="6"/>
  <c r="D29" i="6"/>
  <c r="D44" i="6"/>
  <c r="D56" i="6"/>
  <c r="D12" i="6"/>
  <c r="D24" i="6"/>
  <c r="D51" i="6"/>
  <c r="D63" i="6"/>
  <c r="D19" i="6"/>
  <c r="D46" i="6"/>
  <c r="D58" i="6"/>
  <c r="D30" i="5"/>
  <c r="D50" i="5"/>
  <c r="D55" i="5"/>
  <c r="D59" i="5"/>
  <c r="G62" i="5"/>
  <c r="D18" i="5"/>
  <c r="G18" i="5"/>
  <c r="H18" i="5" s="1"/>
  <c r="I18" i="5" s="1"/>
  <c r="D43" i="5"/>
  <c r="G50" i="5"/>
  <c r="G53" i="5"/>
  <c r="H53" i="5" s="1"/>
  <c r="I53" i="5" s="1"/>
  <c r="H59" i="5"/>
  <c r="I59" i="5" s="1"/>
  <c r="G45" i="5"/>
  <c r="H45" i="5" s="1"/>
  <c r="I45" i="5" s="1"/>
  <c r="H57" i="5"/>
  <c r="I57" i="5" s="1"/>
  <c r="G56" i="5"/>
  <c r="H56" i="5" s="1"/>
  <c r="I56" i="5" s="1"/>
  <c r="G55" i="5"/>
  <c r="H55" i="5" s="1"/>
  <c r="I55" i="5" s="1"/>
  <c r="G43" i="5"/>
  <c r="H43" i="5" s="1"/>
  <c r="I43" i="5" s="1"/>
  <c r="H44" i="5"/>
  <c r="I44" i="5" s="1"/>
  <c r="G54" i="5"/>
  <c r="H54" i="5" s="1"/>
  <c r="I54" i="5" s="1"/>
  <c r="G42" i="5"/>
  <c r="H42" i="5" s="1"/>
  <c r="I42" i="5" s="1"/>
  <c r="G29" i="5"/>
  <c r="H29" i="5" s="1"/>
  <c r="I29" i="5" s="1"/>
  <c r="G17" i="5"/>
  <c r="H17" i="5" s="1"/>
  <c r="I17" i="5" s="1"/>
  <c r="D23" i="5"/>
  <c r="G28" i="5"/>
  <c r="H28" i="5" s="1"/>
  <c r="I28" i="5" s="1"/>
  <c r="H10" i="5"/>
  <c r="I10" i="5" s="1"/>
  <c r="H13" i="5"/>
  <c r="I13" i="5" s="1"/>
  <c r="H25" i="5"/>
  <c r="I25" i="5" s="1"/>
  <c r="G24" i="5"/>
  <c r="H24" i="5" s="1"/>
  <c r="I24" i="5" s="1"/>
  <c r="G12" i="5"/>
  <c r="H12" i="5" s="1"/>
  <c r="I12" i="5" s="1"/>
  <c r="H9" i="5"/>
  <c r="I9" i="5" s="1"/>
  <c r="G23" i="5"/>
  <c r="H23" i="5" s="1"/>
  <c r="I23" i="5" s="1"/>
  <c r="G11" i="5"/>
  <c r="H11" i="5" s="1"/>
  <c r="I11" i="5" s="1"/>
  <c r="H21" i="5"/>
  <c r="I21" i="5" s="1"/>
  <c r="G22" i="5"/>
  <c r="H22" i="5" s="1"/>
  <c r="I22" i="5" s="1"/>
  <c r="G10" i="5"/>
  <c r="H49" i="5"/>
  <c r="I49" i="5" s="1"/>
  <c r="H61" i="5"/>
  <c r="I61" i="5" s="1"/>
  <c r="H51" i="5"/>
  <c r="I51" i="5" s="1"/>
  <c r="H46" i="5"/>
  <c r="I46" i="5" s="1"/>
  <c r="H47" i="5"/>
  <c r="I47" i="5" s="1"/>
  <c r="H58" i="5"/>
  <c r="I58" i="5" s="1"/>
  <c r="H63" i="5"/>
  <c r="I63" i="5" s="1"/>
  <c r="H41" i="5"/>
  <c r="I41" i="5" s="1"/>
  <c r="H19" i="5"/>
  <c r="I19" i="5" s="1"/>
  <c r="H14" i="5"/>
  <c r="I14" i="5" s="1"/>
  <c r="H20" i="5"/>
  <c r="I20" i="5" s="1"/>
  <c r="H26" i="5"/>
  <c r="I26" i="5" s="1"/>
  <c r="H15" i="5"/>
  <c r="I15" i="5" s="1"/>
  <c r="H16" i="5"/>
  <c r="I16" i="5" s="1"/>
  <c r="H8" i="5"/>
  <c r="I8" i="5" s="1"/>
  <c r="D9" i="5"/>
  <c r="D29" i="5"/>
  <c r="D15" i="5"/>
  <c r="D21" i="5"/>
  <c r="D24" i="5"/>
  <c r="D26" i="5"/>
  <c r="D27" i="5"/>
  <c r="D12" i="5"/>
  <c r="D45" i="5"/>
  <c r="D57" i="5"/>
  <c r="D42" i="5"/>
  <c r="D54" i="5"/>
  <c r="D47" i="5"/>
  <c r="D51" i="5"/>
  <c r="D48" i="5"/>
  <c r="D63" i="5"/>
  <c r="D60" i="5"/>
  <c r="D52" i="5"/>
  <c r="H50" i="5"/>
  <c r="I50" i="5" s="1"/>
  <c r="H62" i="5"/>
  <c r="I62" i="5" s="1"/>
  <c r="H27" i="5"/>
  <c r="I27" i="5" s="1"/>
  <c r="H30" i="5"/>
  <c r="I30" i="5" s="1"/>
  <c r="D8" i="5"/>
  <c r="D11" i="5"/>
  <c r="D14" i="5"/>
  <c r="D17" i="5"/>
  <c r="D20" i="5"/>
  <c r="D49" i="5"/>
  <c r="D61" i="5"/>
  <c r="D44" i="5"/>
  <c r="D56" i="5"/>
  <c r="D46" i="5"/>
  <c r="D58" i="5"/>
  <c r="D10" i="5"/>
  <c r="D13" i="5"/>
  <c r="D16" i="5"/>
  <c r="D19" i="5"/>
  <c r="D22" i="5"/>
  <c r="D25" i="5"/>
  <c r="D28" i="5"/>
  <c r="D41" i="5"/>
  <c r="D53" i="5"/>
  <c r="D58" i="4"/>
  <c r="D52" i="4"/>
  <c r="D46" i="4"/>
  <c r="D62" i="4"/>
  <c r="D56" i="4"/>
  <c r="D50" i="4"/>
  <c r="D44" i="4"/>
  <c r="D61" i="4"/>
  <c r="D55" i="4"/>
  <c r="D49" i="4"/>
  <c r="D60" i="4"/>
  <c r="D54" i="4"/>
  <c r="D48" i="4"/>
  <c r="G63" i="4"/>
  <c r="H63" i="4" s="1"/>
  <c r="I63" i="4" s="1"/>
  <c r="G61" i="4"/>
  <c r="H61" i="4" s="1"/>
  <c r="I61" i="4" s="1"/>
  <c r="G59" i="4"/>
  <c r="H59" i="4" s="1"/>
  <c r="I59" i="4" s="1"/>
  <c r="G57" i="4"/>
  <c r="H57" i="4" s="1"/>
  <c r="I57" i="4" s="1"/>
  <c r="G55" i="4"/>
  <c r="H55" i="4" s="1"/>
  <c r="I55" i="4" s="1"/>
  <c r="G53" i="4"/>
  <c r="H53" i="4" s="1"/>
  <c r="I53" i="4" s="1"/>
  <c r="G51" i="4"/>
  <c r="H51" i="4" s="1"/>
  <c r="I51" i="4" s="1"/>
  <c r="G49" i="4"/>
  <c r="H49" i="4" s="1"/>
  <c r="I49" i="4" s="1"/>
  <c r="G47" i="4"/>
  <c r="H47" i="4" s="1"/>
  <c r="I47" i="4" s="1"/>
  <c r="G45" i="4"/>
  <c r="H45" i="4" s="1"/>
  <c r="I45" i="4" s="1"/>
  <c r="G43" i="4"/>
  <c r="H43" i="4" s="1"/>
  <c r="I43" i="4" s="1"/>
  <c r="D43" i="4"/>
  <c r="G62" i="4"/>
  <c r="H62" i="4" s="1"/>
  <c r="I62" i="4" s="1"/>
  <c r="G60" i="4"/>
  <c r="H60" i="4" s="1"/>
  <c r="I60" i="4" s="1"/>
  <c r="G58" i="4"/>
  <c r="H58" i="4" s="1"/>
  <c r="I58" i="4" s="1"/>
  <c r="G56" i="4"/>
  <c r="H56" i="4" s="1"/>
  <c r="I56" i="4" s="1"/>
  <c r="G54" i="4"/>
  <c r="H54" i="4" s="1"/>
  <c r="I54" i="4" s="1"/>
  <c r="G52" i="4"/>
  <c r="H52" i="4" s="1"/>
  <c r="I52" i="4" s="1"/>
  <c r="G50" i="4"/>
  <c r="H50" i="4" s="1"/>
  <c r="I50" i="4" s="1"/>
  <c r="G48" i="4"/>
  <c r="H48" i="4" s="1"/>
  <c r="I48" i="4" s="1"/>
  <c r="G46" i="4"/>
  <c r="H46" i="4" s="1"/>
  <c r="I46" i="4" s="1"/>
  <c r="G44" i="4"/>
  <c r="H44" i="4" s="1"/>
  <c r="I44" i="4" s="1"/>
  <c r="D41" i="4"/>
  <c r="D27" i="4"/>
  <c r="G30" i="4"/>
  <c r="H30" i="4" s="1"/>
  <c r="I30" i="4" s="1"/>
  <c r="G28" i="4"/>
  <c r="H28" i="4" s="1"/>
  <c r="I28" i="4" s="1"/>
  <c r="D25" i="4"/>
  <c r="D24" i="4"/>
  <c r="G25" i="4"/>
  <c r="H25" i="4" s="1"/>
  <c r="I25" i="4" s="1"/>
  <c r="G23" i="4"/>
  <c r="H23" i="4" s="1"/>
  <c r="I23" i="4" s="1"/>
  <c r="D23" i="4"/>
  <c r="G24" i="4"/>
  <c r="H24" i="4" s="1"/>
  <c r="I24" i="4" s="1"/>
  <c r="D19" i="4"/>
  <c r="D17" i="4"/>
  <c r="D13" i="4"/>
  <c r="D18" i="4"/>
  <c r="D16" i="4"/>
  <c r="D14" i="4"/>
  <c r="D12" i="4"/>
  <c r="D10" i="4"/>
  <c r="G19" i="4"/>
  <c r="H19" i="4" s="1"/>
  <c r="I19" i="4" s="1"/>
  <c r="G17" i="4"/>
  <c r="H17" i="4" s="1"/>
  <c r="I17" i="4" s="1"/>
  <c r="G15" i="4"/>
  <c r="H15" i="4" s="1"/>
  <c r="I15" i="4" s="1"/>
  <c r="G13" i="4"/>
  <c r="H13" i="4" s="1"/>
  <c r="I13" i="4" s="1"/>
  <c r="G11" i="4"/>
  <c r="H11" i="4" s="1"/>
  <c r="I11" i="4" s="1"/>
  <c r="A25" i="4" l="1"/>
  <c r="A20" i="4"/>
  <c r="A21" i="4" s="1"/>
  <c r="A22" i="4" s="1"/>
  <c r="A23" i="4" s="1"/>
  <c r="A24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8" i="4"/>
  <c r="I6" i="3" l="1"/>
  <c r="J6" i="3" s="1"/>
  <c r="F6" i="3" l="1"/>
  <c r="G31" i="3" l="1"/>
  <c r="G32" i="3"/>
  <c r="G33" i="3"/>
  <c r="G34" i="3"/>
  <c r="I34" i="3" s="1"/>
  <c r="J34" i="3" s="1"/>
  <c r="G35" i="3"/>
  <c r="G36" i="3"/>
  <c r="G30" i="3"/>
  <c r="G23" i="3"/>
  <c r="G18" i="3"/>
  <c r="G19" i="3"/>
  <c r="G20" i="3"/>
  <c r="G21" i="3"/>
  <c r="G22" i="3"/>
  <c r="G17" i="3"/>
  <c r="G5" i="3"/>
  <c r="G6" i="3"/>
  <c r="G7" i="3"/>
  <c r="I8" i="3" s="1"/>
  <c r="J8" i="3" s="1"/>
  <c r="G8" i="3"/>
  <c r="G9" i="3"/>
  <c r="I10" i="3" s="1"/>
  <c r="J10" i="3" s="1"/>
  <c r="G10" i="3"/>
  <c r="G4" i="3"/>
  <c r="F10" i="3" l="1"/>
  <c r="F8" i="3"/>
  <c r="I23" i="3"/>
  <c r="J23" i="3" s="1"/>
  <c r="F23" i="3"/>
  <c r="I36" i="3"/>
  <c r="J36" i="3" s="1"/>
  <c r="F36" i="3"/>
  <c r="F34" i="3"/>
  <c r="I21" i="3"/>
  <c r="J21" i="3" s="1"/>
  <c r="F21" i="3"/>
  <c r="F32" i="3"/>
  <c r="I32" i="3"/>
  <c r="J32" i="3" s="1"/>
  <c r="F19" i="3"/>
  <c r="I19" i="3"/>
  <c r="J19" i="3" s="1"/>
</calcChain>
</file>

<file path=xl/sharedStrings.xml><?xml version="1.0" encoding="utf-8"?>
<sst xmlns="http://schemas.openxmlformats.org/spreadsheetml/2006/main" count="381" uniqueCount="54">
  <si>
    <t>Степень полинома</t>
  </si>
  <si>
    <t>Полином и область интегрирования</t>
  </si>
  <si>
    <t>Аналитическое значение интеграла</t>
  </si>
  <si>
    <t>Число отрезков</t>
  </si>
  <si>
    <t>Численное значение интеграла</t>
  </si>
  <si>
    <t>Погрешность</t>
  </si>
  <si>
    <t>Оценка погрешности по правилу Рунге</t>
  </si>
  <si>
    <t>Уточнение по Ричардсону</t>
  </si>
  <si>
    <t>Погрешность уточнённого решения</t>
  </si>
  <si>
    <t>N</t>
  </si>
  <si>
    <t>m</t>
  </si>
  <si>
    <t>Отношение погрешностей</t>
  </si>
  <si>
    <t>m-1</t>
  </si>
  <si>
    <t>m+1</t>
  </si>
  <si>
    <t>m+2</t>
  </si>
  <si>
    <t>[-3;10]</t>
  </si>
  <si>
    <t>x2 - 4x + 31</t>
  </si>
  <si>
    <t>3x + 2</t>
  </si>
  <si>
    <t>23x3 - 5x2  + 34x +31</t>
  </si>
  <si>
    <t>I*</t>
  </si>
  <si>
    <r>
      <t>I</t>
    </r>
    <r>
      <rPr>
        <sz val="8"/>
        <color theme="1"/>
        <rFont val="Times New Roman"/>
        <family val="1"/>
        <charset val="204"/>
      </rPr>
      <t>h</t>
    </r>
  </si>
  <si>
    <r>
      <t>(I*-I</t>
    </r>
    <r>
      <rPr>
        <sz val="8"/>
        <color theme="1"/>
        <rFont val="Times New Roman"/>
        <family val="1"/>
        <charset val="204"/>
      </rPr>
      <t>2h</t>
    </r>
    <r>
      <rPr>
        <sz val="11"/>
        <color theme="1"/>
        <rFont val="Times New Roman"/>
        <family val="1"/>
        <charset val="204"/>
      </rPr>
      <t>)/(I*-I</t>
    </r>
    <r>
      <rPr>
        <sz val="8"/>
        <color theme="1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)</t>
    </r>
  </si>
  <si>
    <r>
      <t>(I*-I</t>
    </r>
    <r>
      <rPr>
        <sz val="8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>)</t>
    </r>
  </si>
  <si>
    <r>
      <t>(I*-I</t>
    </r>
    <r>
      <rPr>
        <sz val="8"/>
        <color theme="1"/>
        <rFont val="Calibri"/>
        <family val="2"/>
        <charset val="204"/>
        <scheme val="minor"/>
      </rPr>
      <t>2h</t>
    </r>
    <r>
      <rPr>
        <sz val="11"/>
        <color theme="1"/>
        <rFont val="Calibri"/>
        <family val="2"/>
        <scheme val="minor"/>
      </rPr>
      <t>)/(2^k-1)</t>
    </r>
  </si>
  <si>
    <r>
      <t>I</t>
    </r>
    <r>
      <rPr>
        <sz val="8"/>
        <color theme="1"/>
        <rFont val="Calibri"/>
        <family val="2"/>
        <charset val="204"/>
        <scheme val="minor"/>
      </rPr>
      <t>R</t>
    </r>
  </si>
  <si>
    <r>
      <t>I*-I</t>
    </r>
    <r>
      <rPr>
        <sz val="8"/>
        <color theme="1"/>
        <rFont val="Calibri"/>
        <family val="2"/>
        <charset val="204"/>
        <scheme val="minor"/>
      </rPr>
      <t>R</t>
    </r>
  </si>
  <si>
    <t>Метод прямоугольников
Порядок метода (порядок аппроксимации) k=2
Теоретическое значение порядка точности: m=1</t>
  </si>
  <si>
    <t>Метод Симпсона
Порядок метода (порядок аппроксимации) k=4
Теоретическое значение порядка точности: m=3</t>
  </si>
  <si>
    <t>2x4+6x3-10x2-7x+21</t>
  </si>
  <si>
    <t>x5-x4+3x3+11x2-2x-9</t>
  </si>
  <si>
    <t>Метод Ньютона-Котеса на 4-х узлах
Порядок метода (порядок аппроксимации) k=4
Теоретическое значение порядка точности: m=3</t>
  </si>
  <si>
    <t>¾</t>
  </si>
  <si>
    <t>Шаг</t>
  </si>
  <si>
    <t>Оценка отношения погрешностей</t>
  </si>
  <si>
    <t>h</t>
  </si>
  <si>
    <r>
      <t>(I</t>
    </r>
    <r>
      <rPr>
        <sz val="8"/>
        <color theme="1"/>
        <rFont val="Times New Roman"/>
        <family val="1"/>
        <charset val="204"/>
      </rPr>
      <t>h/2</t>
    </r>
    <r>
      <rPr>
        <sz val="11"/>
        <color theme="1"/>
        <rFont val="Times New Roman"/>
        <family val="1"/>
        <charset val="204"/>
      </rPr>
      <t>-I</t>
    </r>
    <r>
      <rPr>
        <sz val="8"/>
        <color theme="1"/>
        <rFont val="Times New Roman"/>
        <family val="1"/>
        <charset val="204"/>
      </rPr>
      <t>2h</t>
    </r>
    <r>
      <rPr>
        <sz val="11"/>
        <color theme="1"/>
        <rFont val="Times New Roman"/>
        <family val="1"/>
        <charset val="204"/>
      </rPr>
      <t>)/(I</t>
    </r>
    <r>
      <rPr>
        <sz val="8"/>
        <color theme="1"/>
        <rFont val="Times New Roman"/>
        <family val="1"/>
        <charset val="204"/>
      </rPr>
      <t>h/2</t>
    </r>
    <r>
      <rPr>
        <sz val="11"/>
        <color theme="1"/>
        <rFont val="Times New Roman"/>
        <family val="1"/>
        <charset val="204"/>
      </rPr>
      <t>-I</t>
    </r>
    <r>
      <rPr>
        <sz val="8"/>
        <color theme="1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)</t>
    </r>
  </si>
  <si>
    <t>Название метода: метод прямоугольников</t>
  </si>
  <si>
    <t>Порядок метода (порядок аппроксимации) k=2</t>
  </si>
  <si>
    <t>x*cosx</t>
  </si>
  <si>
    <t>Интеграл и его аналитическое значение I*=−5.71265</t>
  </si>
  <si>
    <t>Интеграл и его аналитическое значение I*=156493.4833333</t>
  </si>
  <si>
    <t>Название метода: метод Симпсона</t>
  </si>
  <si>
    <t>Порядок метода (порядок аппроксимации) k=4</t>
  </si>
  <si>
    <t>Подынтегральная функция и область интегрирования: x*cosx, [-3;10]</t>
  </si>
  <si>
    <t>Подынтегральная функция и область интегрирования: x5-x4+3x3+11x2-2x-9, [-3;10]</t>
  </si>
  <si>
    <t>Подынтегральная функция и область интегрирования: x7 - 2x5 + 5x3 - 7x, [-3;5]</t>
  </si>
  <si>
    <t>x7 - 2x5 + 5x3 - 7x</t>
  </si>
  <si>
    <t>Название метода: метод Ньютона-Котеса на 4-х узлах</t>
  </si>
  <si>
    <t>Интеграл и его аналитическое значение I*=43666.6666666667</t>
  </si>
  <si>
    <t>Название метода: метод прямоугольников (двойная точность)</t>
  </si>
  <si>
    <t>Название метода: метод Симпсона (двойная точность)</t>
  </si>
  <si>
    <t>Интеграл и его аналитическое значение I*= -5.7126501655493</t>
  </si>
  <si>
    <t>Название метода: метод Ньютона-Котеса на 4х узлах (двойная точность)</t>
  </si>
  <si>
    <r>
      <t>(I</t>
    </r>
    <r>
      <rPr>
        <sz val="8"/>
        <color theme="1"/>
        <rFont val="Calibri"/>
        <family val="2"/>
        <charset val="204"/>
        <scheme val="minor"/>
      </rPr>
      <t>h</t>
    </r>
    <r>
      <rPr>
        <sz val="11"/>
        <color theme="1"/>
        <rFont val="Calibri"/>
        <family val="2"/>
        <scheme val="minor"/>
      </rPr>
      <t>-I</t>
    </r>
    <r>
      <rPr>
        <sz val="8"/>
        <color theme="1"/>
        <rFont val="Calibri"/>
        <family val="2"/>
        <charset val="204"/>
        <scheme val="minor"/>
      </rPr>
      <t>2h</t>
    </r>
    <r>
      <rPr>
        <sz val="11"/>
        <color theme="1"/>
        <rFont val="Calibri"/>
        <family val="2"/>
        <scheme val="minor"/>
      </rPr>
      <t>)/(2^k-1)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</si>
</sst>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000000000E+00"/>
    <numFmt numFmtId="166" formatCode="0.0000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9"/>
      <color theme="1"/>
      <name val="Symbol"/>
      <family val="1"/>
      <charset val="2"/>
    </font>
    <font>
      <sz val="8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11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1" xfId="0" applyBorder="1" applyAlignment="1">
      <alignment horizontal="center" vertical="center" wrapText="1"/>
    </xf>
    <xf numFmtId="164" fontId="6" fillId="0" borderId="0" xfId="0" applyNumberFormat="1" applyFont="1" applyBorder="1"/>
    <xf numFmtId="164" fontId="0" fillId="0" borderId="0" xfId="0" applyNumberFormat="1"/>
    <xf numFmtId="0" fontId="0" fillId="0" borderId="0" xfId="0" applyBorder="1"/>
    <xf numFmtId="164" fontId="7" fillId="0" borderId="0" xfId="0" applyNumberFormat="1" applyFont="1" applyBorder="1" applyAlignment="1">
      <alignment horizontal="center" vertical="center" wrapText="1"/>
    </xf>
    <xf numFmtId="164" fontId="8" fillId="0" borderId="0" xfId="0" applyNumberFormat="1" applyFont="1" applyBorder="1"/>
    <xf numFmtId="0" fontId="8" fillId="0" borderId="0" xfId="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/>
    <xf numFmtId="164" fontId="0" fillId="0" borderId="0" xfId="0" applyNumberFormat="1" applyBorder="1"/>
    <xf numFmtId="164" fontId="6" fillId="0" borderId="1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20" xfId="0" applyBorder="1"/>
    <xf numFmtId="1" fontId="0" fillId="0" borderId="5" xfId="0" applyNumberFormat="1" applyBorder="1"/>
    <xf numFmtId="1" fontId="0" fillId="0" borderId="20" xfId="0" applyNumberFormat="1" applyBorder="1"/>
    <xf numFmtId="164" fontId="0" fillId="0" borderId="0" xfId="0" applyNumberFormat="1" applyFont="1"/>
    <xf numFmtId="0" fontId="0" fillId="0" borderId="0" xfId="0" applyFont="1"/>
    <xf numFmtId="166" fontId="0" fillId="0" borderId="1" xfId="0" applyNumberFormat="1" applyFont="1" applyBorder="1"/>
    <xf numFmtId="166" fontId="9" fillId="0" borderId="1" xfId="0" applyNumberFormat="1" applyFont="1" applyBorder="1" applyAlignment="1">
      <alignment horizontal="center" vertical="center" wrapText="1"/>
    </xf>
    <xf numFmtId="166" fontId="9" fillId="0" borderId="6" xfId="0" applyNumberFormat="1" applyFont="1" applyBorder="1" applyAlignment="1">
      <alignment horizontal="center" vertical="center" wrapText="1"/>
    </xf>
    <xf numFmtId="166" fontId="0" fillId="0" borderId="6" xfId="0" applyNumberFormat="1" applyFont="1" applyBorder="1"/>
    <xf numFmtId="166" fontId="0" fillId="0" borderId="7" xfId="0" applyNumberFormat="1" applyFont="1" applyBorder="1"/>
    <xf numFmtId="166" fontId="0" fillId="0" borderId="8" xfId="0" applyNumberFormat="1" applyFont="1" applyBorder="1"/>
    <xf numFmtId="165" fontId="0" fillId="0" borderId="1" xfId="0" applyNumberFormat="1" applyFont="1" applyBorder="1"/>
    <xf numFmtId="165" fontId="9" fillId="0" borderId="1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165" fontId="0" fillId="0" borderId="6" xfId="0" applyNumberFormat="1" applyFont="1" applyBorder="1"/>
    <xf numFmtId="165" fontId="0" fillId="0" borderId="7" xfId="0" applyNumberFormat="1" applyFont="1" applyBorder="1" applyAlignment="1"/>
    <xf numFmtId="165" fontId="0" fillId="0" borderId="7" xfId="0" applyNumberFormat="1" applyFont="1" applyBorder="1"/>
    <xf numFmtId="165" fontId="0" fillId="0" borderId="8" xfId="0" applyNumberFormat="1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C7B3-AF89-4B99-AE14-E8DC6F9A5F74}">
  <dimension ref="A1:J36"/>
  <sheetViews>
    <sheetView tabSelected="1" topLeftCell="A20" zoomScaleNormal="100" workbookViewId="0">
      <selection activeCell="H37" sqref="H37"/>
    </sheetView>
  </sheetViews>
  <sheetFormatPr defaultRowHeight="15" x14ac:dyDescent="0.25"/>
  <cols>
    <col min="1" max="1" width="4.7109375" bestFit="1" customWidth="1"/>
    <col min="2" max="2" width="19" bestFit="1" customWidth="1"/>
    <col min="3" max="3" width="12.7109375" customWidth="1"/>
    <col min="4" max="4" width="5.7109375" customWidth="1"/>
    <col min="5" max="10" width="12.7109375" customWidth="1"/>
  </cols>
  <sheetData>
    <row r="1" spans="1:10" ht="50.1" customHeight="1" x14ac:dyDescent="0.25">
      <c r="A1" s="61" t="s">
        <v>26</v>
      </c>
      <c r="B1" s="62"/>
      <c r="C1" s="62"/>
      <c r="D1" s="62"/>
      <c r="E1" s="62"/>
      <c r="F1" s="62"/>
      <c r="G1" s="62"/>
      <c r="H1" s="62"/>
      <c r="I1" s="62"/>
      <c r="J1" s="63"/>
    </row>
    <row r="2" spans="1:10" ht="117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11</v>
      </c>
      <c r="G2" s="2" t="s">
        <v>5</v>
      </c>
      <c r="H2" s="2" t="s">
        <v>6</v>
      </c>
      <c r="I2" s="2" t="s">
        <v>7</v>
      </c>
      <c r="J2" s="3" t="s">
        <v>8</v>
      </c>
    </row>
    <row r="3" spans="1:10" ht="30" x14ac:dyDescent="0.25">
      <c r="A3" s="4"/>
      <c r="B3" s="5" t="s">
        <v>15</v>
      </c>
      <c r="C3" s="6" t="s">
        <v>19</v>
      </c>
      <c r="D3" s="6" t="s">
        <v>9</v>
      </c>
      <c r="E3" s="6" t="s">
        <v>20</v>
      </c>
      <c r="F3" s="6" t="s">
        <v>21</v>
      </c>
      <c r="G3" s="8" t="s">
        <v>22</v>
      </c>
      <c r="H3" s="8" t="s">
        <v>53</v>
      </c>
      <c r="I3" s="8" t="s">
        <v>24</v>
      </c>
      <c r="J3" s="7" t="s">
        <v>25</v>
      </c>
    </row>
    <row r="4" spans="1:10" x14ac:dyDescent="0.25">
      <c r="A4" s="4" t="s">
        <v>12</v>
      </c>
      <c r="B4" s="8">
        <v>12477</v>
      </c>
      <c r="C4" s="10">
        <v>162201</v>
      </c>
      <c r="D4" s="19">
        <v>1</v>
      </c>
      <c r="E4" s="10">
        <v>162201</v>
      </c>
      <c r="F4" s="11" t="s">
        <v>31</v>
      </c>
      <c r="G4" s="10">
        <f>C4-E4</f>
        <v>0</v>
      </c>
      <c r="H4" s="11" t="s">
        <v>31</v>
      </c>
      <c r="I4" s="11" t="s">
        <v>31</v>
      </c>
      <c r="J4" s="12" t="s">
        <v>31</v>
      </c>
    </row>
    <row r="5" spans="1:10" x14ac:dyDescent="0.25">
      <c r="A5" s="57" t="s">
        <v>10</v>
      </c>
      <c r="B5" s="68" t="s">
        <v>17</v>
      </c>
      <c r="C5" s="9">
        <v>162.5</v>
      </c>
      <c r="D5" s="20">
        <v>1</v>
      </c>
      <c r="E5" s="9">
        <v>162.5</v>
      </c>
      <c r="F5" s="11" t="s">
        <v>31</v>
      </c>
      <c r="G5" s="10">
        <f t="shared" ref="G5:G10" si="0">C5-E5</f>
        <v>0</v>
      </c>
      <c r="H5" s="11" t="s">
        <v>31</v>
      </c>
      <c r="I5" s="11" t="s">
        <v>31</v>
      </c>
      <c r="J5" s="12" t="s">
        <v>31</v>
      </c>
    </row>
    <row r="6" spans="1:10" x14ac:dyDescent="0.25">
      <c r="A6" s="64"/>
      <c r="B6" s="67"/>
      <c r="C6" s="9">
        <v>162.5</v>
      </c>
      <c r="D6" s="19">
        <v>2</v>
      </c>
      <c r="E6" s="10">
        <v>162.5</v>
      </c>
      <c r="F6" s="10" t="e">
        <f>G5/G6</f>
        <v>#DIV/0!</v>
      </c>
      <c r="G6" s="10">
        <f t="shared" si="0"/>
        <v>0</v>
      </c>
      <c r="H6" s="10">
        <f>(E6-E5)/3</f>
        <v>0</v>
      </c>
      <c r="I6" s="10">
        <f>E6+H6</f>
        <v>162.5</v>
      </c>
      <c r="J6" s="14">
        <f>C6-I6</f>
        <v>0</v>
      </c>
    </row>
    <row r="7" spans="1:10" x14ac:dyDescent="0.25">
      <c r="A7" s="57" t="s">
        <v>13</v>
      </c>
      <c r="B7" s="68" t="s">
        <v>16</v>
      </c>
      <c r="C7" s="9">
        <v>563.33333330000005</v>
      </c>
      <c r="D7" s="20">
        <v>1</v>
      </c>
      <c r="E7" s="9">
        <v>380.25</v>
      </c>
      <c r="F7" s="11" t="s">
        <v>31</v>
      </c>
      <c r="G7" s="10">
        <f t="shared" si="0"/>
        <v>183.08333330000005</v>
      </c>
      <c r="H7" s="11" t="s">
        <v>31</v>
      </c>
      <c r="I7" s="11" t="s">
        <v>31</v>
      </c>
      <c r="J7" s="12" t="s">
        <v>31</v>
      </c>
    </row>
    <row r="8" spans="1:10" x14ac:dyDescent="0.25">
      <c r="A8" s="64"/>
      <c r="B8" s="67"/>
      <c r="C8" s="9">
        <v>563.33333330000005</v>
      </c>
      <c r="D8" s="19">
        <v>2</v>
      </c>
      <c r="E8" s="10">
        <v>517.5625</v>
      </c>
      <c r="F8" s="10">
        <f>G7/G8</f>
        <v>4.0000000021847946</v>
      </c>
      <c r="G8" s="10">
        <f t="shared" si="0"/>
        <v>45.770833300000049</v>
      </c>
      <c r="H8" s="10">
        <f>(E8-E7)/3</f>
        <v>45.770833333333336</v>
      </c>
      <c r="I8" s="10">
        <f>E8+H8</f>
        <v>563.33333333333337</v>
      </c>
      <c r="J8" s="14">
        <f>C8-I8</f>
        <v>-3.3333321880490985E-8</v>
      </c>
    </row>
    <row r="9" spans="1:10" x14ac:dyDescent="0.25">
      <c r="A9" s="57" t="s">
        <v>14</v>
      </c>
      <c r="B9" s="68" t="s">
        <v>18</v>
      </c>
      <c r="C9" s="13">
        <v>57272.583333299997</v>
      </c>
      <c r="D9" s="19">
        <v>1</v>
      </c>
      <c r="E9" s="10">
        <v>13973.375</v>
      </c>
      <c r="F9" s="11" t="s">
        <v>31</v>
      </c>
      <c r="G9" s="10">
        <f t="shared" si="0"/>
        <v>43299.208333299997</v>
      </c>
      <c r="H9" s="11" t="s">
        <v>31</v>
      </c>
      <c r="I9" s="11" t="s">
        <v>31</v>
      </c>
      <c r="J9" s="12" t="s">
        <v>31</v>
      </c>
    </row>
    <row r="10" spans="1:10" ht="15.75" thickBot="1" x14ac:dyDescent="0.3">
      <c r="A10" s="58"/>
      <c r="B10" s="69"/>
      <c r="C10" s="16">
        <v>57272.583333299997</v>
      </c>
      <c r="D10" s="21">
        <v>2</v>
      </c>
      <c r="E10" s="17">
        <v>46447.78125</v>
      </c>
      <c r="F10" s="17">
        <f>G9/G10</f>
        <v>4.0000000000092388</v>
      </c>
      <c r="G10" s="16">
        <f t="shared" si="0"/>
        <v>10824.802083299997</v>
      </c>
      <c r="H10" s="17">
        <f>(E10-E9)/3</f>
        <v>10824.802083333334</v>
      </c>
      <c r="I10" s="17">
        <f>E10+H10</f>
        <v>57272.583333333336</v>
      </c>
      <c r="J10" s="18">
        <f>C10-I10</f>
        <v>-3.3338437788188457E-8</v>
      </c>
    </row>
    <row r="13" spans="1:10" ht="15.75" thickBot="1" x14ac:dyDescent="0.3"/>
    <row r="14" spans="1:10" ht="50.1" customHeight="1" x14ac:dyDescent="0.25">
      <c r="A14" s="61" t="s">
        <v>27</v>
      </c>
      <c r="B14" s="62"/>
      <c r="C14" s="62"/>
      <c r="D14" s="62"/>
      <c r="E14" s="62"/>
      <c r="F14" s="62"/>
      <c r="G14" s="62"/>
      <c r="H14" s="62"/>
      <c r="I14" s="62"/>
      <c r="J14" s="63"/>
    </row>
    <row r="15" spans="1:10" ht="105.75" x14ac:dyDescent="0.2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11</v>
      </c>
      <c r="G15" s="2" t="s">
        <v>5</v>
      </c>
      <c r="H15" s="2" t="s">
        <v>6</v>
      </c>
      <c r="I15" s="2" t="s">
        <v>7</v>
      </c>
      <c r="J15" s="3" t="s">
        <v>8</v>
      </c>
    </row>
    <row r="16" spans="1:10" ht="30" x14ac:dyDescent="0.25">
      <c r="A16" s="4"/>
      <c r="B16" s="5" t="s">
        <v>15</v>
      </c>
      <c r="C16" s="6" t="s">
        <v>19</v>
      </c>
      <c r="D16" s="6" t="s">
        <v>9</v>
      </c>
      <c r="E16" s="6" t="s">
        <v>20</v>
      </c>
      <c r="F16" s="6" t="s">
        <v>21</v>
      </c>
      <c r="G16" s="8" t="s">
        <v>22</v>
      </c>
      <c r="H16" s="30" t="s">
        <v>53</v>
      </c>
      <c r="I16" s="8" t="s">
        <v>24</v>
      </c>
      <c r="J16" s="7" t="s">
        <v>25</v>
      </c>
    </row>
    <row r="17" spans="1:10" x14ac:dyDescent="0.25">
      <c r="A17" s="4" t="s">
        <v>12</v>
      </c>
      <c r="B17" s="8" t="s">
        <v>16</v>
      </c>
      <c r="C17" s="9">
        <v>563.33333330000005</v>
      </c>
      <c r="D17" s="19">
        <v>1</v>
      </c>
      <c r="E17" s="10">
        <v>563.33331299999998</v>
      </c>
      <c r="F17" s="11" t="s">
        <v>31</v>
      </c>
      <c r="G17" s="10">
        <f>C17-E17</f>
        <v>2.0300000073802948E-5</v>
      </c>
      <c r="H17" s="11" t="s">
        <v>31</v>
      </c>
      <c r="I17" s="11" t="s">
        <v>31</v>
      </c>
      <c r="J17" s="12" t="s">
        <v>31</v>
      </c>
    </row>
    <row r="18" spans="1:10" x14ac:dyDescent="0.25">
      <c r="A18" s="57" t="s">
        <v>10</v>
      </c>
      <c r="B18" s="65" t="s">
        <v>18</v>
      </c>
      <c r="C18" s="13">
        <v>57272.583333299997</v>
      </c>
      <c r="D18" s="20">
        <v>1</v>
      </c>
      <c r="E18" s="9">
        <v>57272.5820313</v>
      </c>
      <c r="F18" s="11" t="s">
        <v>31</v>
      </c>
      <c r="G18" s="10">
        <f t="shared" ref="G18:G22" si="1">C18-E18</f>
        <v>1.3019999969401397E-3</v>
      </c>
      <c r="H18" s="11" t="s">
        <v>31</v>
      </c>
      <c r="I18" s="11" t="s">
        <v>31</v>
      </c>
      <c r="J18" s="12" t="s">
        <v>31</v>
      </c>
    </row>
    <row r="19" spans="1:10" x14ac:dyDescent="0.25">
      <c r="A19" s="64"/>
      <c r="B19" s="65"/>
      <c r="C19" s="13">
        <v>57272.583333299997</v>
      </c>
      <c r="D19" s="19">
        <v>2</v>
      </c>
      <c r="E19" s="10">
        <v>57272.5859375</v>
      </c>
      <c r="F19" s="10">
        <f>G18/G19</f>
        <v>-0.49996159880219443</v>
      </c>
      <c r="G19" s="10">
        <f t="shared" si="1"/>
        <v>-2.6042000026791357E-3</v>
      </c>
      <c r="H19" s="10">
        <f>(E19-E18)/15</f>
        <v>2.6041333330795169E-4</v>
      </c>
      <c r="I19" s="10">
        <f>E19+H19</f>
        <v>57272.586197913333</v>
      </c>
      <c r="J19" s="14">
        <f>C19-I19</f>
        <v>-2.8646133359870873E-3</v>
      </c>
    </row>
    <row r="20" spans="1:10" x14ac:dyDescent="0.25">
      <c r="A20" s="57" t="s">
        <v>13</v>
      </c>
      <c r="B20" s="66" t="s">
        <v>28</v>
      </c>
      <c r="C20" s="15">
        <v>51506.8666667</v>
      </c>
      <c r="D20" s="20">
        <v>1</v>
      </c>
      <c r="E20" s="9">
        <v>57695.0820313</v>
      </c>
      <c r="F20" s="11" t="s">
        <v>31</v>
      </c>
      <c r="G20" s="10">
        <f t="shared" si="1"/>
        <v>-6188.2153646000006</v>
      </c>
      <c r="H20" s="11" t="s">
        <v>31</v>
      </c>
      <c r="I20" s="11" t="s">
        <v>31</v>
      </c>
      <c r="J20" s="12" t="s">
        <v>31</v>
      </c>
    </row>
    <row r="21" spans="1:10" x14ac:dyDescent="0.25">
      <c r="A21" s="64"/>
      <c r="B21" s="67"/>
      <c r="C21" s="15">
        <v>51506.8666667</v>
      </c>
      <c r="D21" s="19">
        <v>2</v>
      </c>
      <c r="E21" s="10">
        <v>51893.6328125</v>
      </c>
      <c r="F21" s="10">
        <f>G20/G21</f>
        <v>15.999888903926909</v>
      </c>
      <c r="G21" s="10">
        <f t="shared" si="1"/>
        <v>-386.76614580000023</v>
      </c>
      <c r="H21" s="10">
        <f>(E21-E20)/15</f>
        <v>-386.76328125333333</v>
      </c>
      <c r="I21" s="10">
        <f>E21+H21</f>
        <v>51506.869531246666</v>
      </c>
      <c r="J21" s="14">
        <f>C21-I21</f>
        <v>-2.8645466663874686E-3</v>
      </c>
    </row>
    <row r="22" spans="1:10" x14ac:dyDescent="0.25">
      <c r="A22" s="57" t="s">
        <v>14</v>
      </c>
      <c r="B22" s="59" t="s">
        <v>29</v>
      </c>
      <c r="C22" s="10">
        <v>157493.48333330001</v>
      </c>
      <c r="D22" s="19">
        <v>1</v>
      </c>
      <c r="E22" s="10">
        <v>208546.265625</v>
      </c>
      <c r="F22" s="11" t="s">
        <v>31</v>
      </c>
      <c r="G22" s="10">
        <f t="shared" si="1"/>
        <v>-51052.782291699987</v>
      </c>
      <c r="H22" s="11" t="s">
        <v>31</v>
      </c>
      <c r="I22" s="11" t="s">
        <v>31</v>
      </c>
      <c r="J22" s="12" t="s">
        <v>31</v>
      </c>
    </row>
    <row r="23" spans="1:10" ht="15.75" thickBot="1" x14ac:dyDescent="0.3">
      <c r="A23" s="58"/>
      <c r="B23" s="60"/>
      <c r="C23" s="33">
        <v>157493.48333330001</v>
      </c>
      <c r="D23" s="21">
        <v>2</v>
      </c>
      <c r="E23" s="17">
        <v>160684.28125</v>
      </c>
      <c r="F23" s="17">
        <f>G22/G23</f>
        <v>16.000004896737622</v>
      </c>
      <c r="G23" s="16">
        <f>C23-E23</f>
        <v>-3190.7979166999867</v>
      </c>
      <c r="H23" s="17">
        <f>(E23-E22)/15</f>
        <v>-3190.7989583333333</v>
      </c>
      <c r="I23" s="17">
        <f>E23+H23</f>
        <v>157493.48229166667</v>
      </c>
      <c r="J23" s="18">
        <f>C23-I23</f>
        <v>1.041633338900283E-3</v>
      </c>
    </row>
    <row r="26" spans="1:10" ht="15.75" thickBot="1" x14ac:dyDescent="0.3"/>
    <row r="27" spans="1:10" ht="50.1" customHeight="1" x14ac:dyDescent="0.25">
      <c r="A27" s="61" t="s">
        <v>30</v>
      </c>
      <c r="B27" s="62"/>
      <c r="C27" s="62"/>
      <c r="D27" s="62"/>
      <c r="E27" s="62"/>
      <c r="F27" s="62"/>
      <c r="G27" s="62"/>
      <c r="H27" s="62"/>
      <c r="I27" s="62"/>
      <c r="J27" s="63"/>
    </row>
    <row r="28" spans="1:10" ht="105.75" x14ac:dyDescent="0.25">
      <c r="A28" s="1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11</v>
      </c>
      <c r="G28" s="2" t="s">
        <v>5</v>
      </c>
      <c r="H28" s="2" t="s">
        <v>6</v>
      </c>
      <c r="I28" s="2" t="s">
        <v>7</v>
      </c>
      <c r="J28" s="3" t="s">
        <v>8</v>
      </c>
    </row>
    <row r="29" spans="1:10" ht="30" x14ac:dyDescent="0.25">
      <c r="A29" s="4"/>
      <c r="B29" s="5" t="s">
        <v>15</v>
      </c>
      <c r="C29" s="6" t="s">
        <v>19</v>
      </c>
      <c r="D29" s="6" t="s">
        <v>9</v>
      </c>
      <c r="E29" s="6" t="s">
        <v>20</v>
      </c>
      <c r="F29" s="6" t="s">
        <v>21</v>
      </c>
      <c r="G29" s="8" t="s">
        <v>22</v>
      </c>
      <c r="H29" s="30" t="s">
        <v>53</v>
      </c>
      <c r="I29" s="8" t="s">
        <v>24</v>
      </c>
      <c r="J29" s="7" t="s">
        <v>25</v>
      </c>
    </row>
    <row r="30" spans="1:10" x14ac:dyDescent="0.25">
      <c r="A30" s="4" t="s">
        <v>12</v>
      </c>
      <c r="B30" s="8" t="s">
        <v>16</v>
      </c>
      <c r="C30" s="9">
        <v>563.33333330000005</v>
      </c>
      <c r="D30" s="19">
        <v>1</v>
      </c>
      <c r="E30" s="10">
        <v>563.33337400000005</v>
      </c>
      <c r="F30" s="11" t="s">
        <v>31</v>
      </c>
      <c r="G30" s="10">
        <f>C30-E30</f>
        <v>-4.0699999999560532E-5</v>
      </c>
      <c r="H30" s="11" t="s">
        <v>31</v>
      </c>
      <c r="I30" s="11" t="s">
        <v>31</v>
      </c>
      <c r="J30" s="12" t="s">
        <v>31</v>
      </c>
    </row>
    <row r="31" spans="1:10" x14ac:dyDescent="0.25">
      <c r="A31" s="57" t="s">
        <v>10</v>
      </c>
      <c r="B31" s="65" t="s">
        <v>18</v>
      </c>
      <c r="C31" s="13">
        <v>57272.583333299997</v>
      </c>
      <c r="D31" s="20">
        <v>1</v>
      </c>
      <c r="E31" s="9">
        <v>57272.5859375</v>
      </c>
      <c r="F31" s="11" t="s">
        <v>31</v>
      </c>
      <c r="G31" s="10">
        <f t="shared" ref="G31:G36" si="2">C31-E31</f>
        <v>-2.6042000026791357E-3</v>
      </c>
      <c r="H31" s="11" t="s">
        <v>31</v>
      </c>
      <c r="I31" s="11" t="s">
        <v>31</v>
      </c>
      <c r="J31" s="12" t="s">
        <v>31</v>
      </c>
    </row>
    <row r="32" spans="1:10" x14ac:dyDescent="0.25">
      <c r="A32" s="64"/>
      <c r="B32" s="65"/>
      <c r="C32" s="13">
        <v>57272.583333299997</v>
      </c>
      <c r="D32" s="19">
        <v>2</v>
      </c>
      <c r="E32" s="10">
        <v>57272.5898438</v>
      </c>
      <c r="F32" s="10">
        <f>G31/G32</f>
        <v>0.40000000022351456</v>
      </c>
      <c r="G32" s="10">
        <f t="shared" si="2"/>
        <v>-6.5105000030598603E-3</v>
      </c>
      <c r="H32" s="10">
        <f>(E32-E31)/15</f>
        <v>2.6042000002538164E-4</v>
      </c>
      <c r="I32" s="10">
        <f>E32+H32</f>
        <v>57272.590104219998</v>
      </c>
      <c r="J32" s="14">
        <f>C32-I32</f>
        <v>-6.7709200011449866E-3</v>
      </c>
    </row>
    <row r="33" spans="1:10" x14ac:dyDescent="0.25">
      <c r="A33" s="57" t="s">
        <v>13</v>
      </c>
      <c r="B33" s="66" t="s">
        <v>28</v>
      </c>
      <c r="C33" s="15">
        <v>51506.8666667</v>
      </c>
      <c r="D33" s="20">
        <v>1</v>
      </c>
      <c r="E33" s="9">
        <v>54257.1835938</v>
      </c>
      <c r="F33" s="11" t="s">
        <v>31</v>
      </c>
      <c r="G33" s="10">
        <f t="shared" si="2"/>
        <v>-2750.3169271000006</v>
      </c>
      <c r="H33" s="11" t="s">
        <v>31</v>
      </c>
      <c r="I33" s="11" t="s">
        <v>31</v>
      </c>
      <c r="J33" s="12" t="s">
        <v>31</v>
      </c>
    </row>
    <row r="34" spans="1:10" x14ac:dyDescent="0.25">
      <c r="A34" s="64"/>
      <c r="B34" s="67"/>
      <c r="C34" s="15">
        <v>51506.8666667</v>
      </c>
      <c r="D34" s="19">
        <v>2</v>
      </c>
      <c r="E34" s="10">
        <v>51678.7617188</v>
      </c>
      <c r="F34" s="10">
        <f>G33/G34</f>
        <v>15.999977273924051</v>
      </c>
      <c r="G34" s="10">
        <f t="shared" si="2"/>
        <v>-171.89505210000061</v>
      </c>
      <c r="H34" s="10">
        <f>(E34-E33)/15</f>
        <v>-171.89479166666666</v>
      </c>
      <c r="I34" s="10">
        <f>E34+G34</f>
        <v>51506.8666667</v>
      </c>
      <c r="J34" s="14">
        <f>C34-I34</f>
        <v>0</v>
      </c>
    </row>
    <row r="35" spans="1:10" x14ac:dyDescent="0.25">
      <c r="A35" s="57" t="s">
        <v>14</v>
      </c>
      <c r="B35" s="59" t="s">
        <v>29</v>
      </c>
      <c r="C35" s="10">
        <v>157493.48333330001</v>
      </c>
      <c r="D35" s="19">
        <v>1</v>
      </c>
      <c r="E35" s="10">
        <v>180183.609375</v>
      </c>
      <c r="F35" s="11" t="s">
        <v>31</v>
      </c>
      <c r="G35" s="10">
        <f t="shared" si="2"/>
        <v>-22690.126041699987</v>
      </c>
      <c r="H35" s="11" t="s">
        <v>31</v>
      </c>
      <c r="I35" s="11" t="s">
        <v>31</v>
      </c>
      <c r="J35" s="12" t="s">
        <v>31</v>
      </c>
    </row>
    <row r="36" spans="1:10" ht="15.75" thickBot="1" x14ac:dyDescent="0.3">
      <c r="A36" s="58"/>
      <c r="B36" s="60"/>
      <c r="C36" s="33">
        <v>157493.48333330001</v>
      </c>
      <c r="D36" s="21">
        <v>2</v>
      </c>
      <c r="E36" s="17">
        <v>158911.625</v>
      </c>
      <c r="F36" s="17">
        <f>G35/G36</f>
        <v>15.999900838186267</v>
      </c>
      <c r="G36" s="16">
        <f t="shared" si="2"/>
        <v>-1418.1416666999867</v>
      </c>
      <c r="H36" s="17">
        <f>(E36-E35)/15</f>
        <v>-1418.1322916666666</v>
      </c>
      <c r="I36" s="17">
        <f>E36+H36</f>
        <v>157493.49270833333</v>
      </c>
      <c r="J36" s="18">
        <f>C36-I36</f>
        <v>-9.3750333180651069E-3</v>
      </c>
    </row>
  </sheetData>
  <mergeCells count="21">
    <mergeCell ref="A20:A21"/>
    <mergeCell ref="B20:B21"/>
    <mergeCell ref="A22:A23"/>
    <mergeCell ref="B18:B19"/>
    <mergeCell ref="B22:B23"/>
    <mergeCell ref="A35:A36"/>
    <mergeCell ref="B35:B36"/>
    <mergeCell ref="A1:J1"/>
    <mergeCell ref="A27:J27"/>
    <mergeCell ref="A31:A32"/>
    <mergeCell ref="B31:B32"/>
    <mergeCell ref="A33:A34"/>
    <mergeCell ref="B33:B34"/>
    <mergeCell ref="B5:B6"/>
    <mergeCell ref="B7:B8"/>
    <mergeCell ref="B9:B10"/>
    <mergeCell ref="A5:A6"/>
    <mergeCell ref="A7:A8"/>
    <mergeCell ref="A9:A10"/>
    <mergeCell ref="A14:J14"/>
    <mergeCell ref="A18:A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A179-80E6-4B0E-B24C-A12806F60898}">
  <dimension ref="A1:M64"/>
  <sheetViews>
    <sheetView topLeftCell="A40" zoomScaleNormal="100" workbookViewId="0">
      <selection activeCell="G39" sqref="G39"/>
    </sheetView>
  </sheetViews>
  <sheetFormatPr defaultRowHeight="15" x14ac:dyDescent="0.25"/>
  <cols>
    <col min="2" max="9" width="15.7109375" customWidth="1"/>
    <col min="13" max="13" width="10.7109375" bestFit="1" customWidth="1"/>
  </cols>
  <sheetData>
    <row r="1" spans="1:13" x14ac:dyDescent="0.25">
      <c r="A1" s="73" t="s">
        <v>36</v>
      </c>
      <c r="B1" s="74"/>
      <c r="C1" s="74"/>
      <c r="D1" s="74"/>
      <c r="E1" s="74"/>
      <c r="F1" s="74"/>
      <c r="G1" s="74"/>
      <c r="H1" s="74"/>
      <c r="I1" s="75"/>
    </row>
    <row r="2" spans="1:13" x14ac:dyDescent="0.25">
      <c r="A2" s="70" t="s">
        <v>37</v>
      </c>
      <c r="B2" s="71"/>
      <c r="C2" s="71"/>
      <c r="D2" s="71"/>
      <c r="E2" s="71"/>
      <c r="F2" s="71"/>
      <c r="G2" s="71"/>
      <c r="H2" s="71"/>
      <c r="I2" s="72"/>
      <c r="K2" t="s">
        <v>29</v>
      </c>
      <c r="M2">
        <v>157493.48333330001</v>
      </c>
    </row>
    <row r="3" spans="1:13" x14ac:dyDescent="0.25">
      <c r="A3" s="70" t="s">
        <v>43</v>
      </c>
      <c r="B3" s="71"/>
      <c r="C3" s="71"/>
      <c r="D3" s="71"/>
      <c r="E3" s="71"/>
      <c r="F3" s="71"/>
      <c r="G3" s="71"/>
      <c r="H3" s="71"/>
      <c r="I3" s="72"/>
      <c r="K3" t="s">
        <v>38</v>
      </c>
      <c r="M3" s="25">
        <v>-5.71265</v>
      </c>
    </row>
    <row r="4" spans="1:13" x14ac:dyDescent="0.25">
      <c r="A4" s="70" t="s">
        <v>39</v>
      </c>
      <c r="B4" s="71"/>
      <c r="C4" s="71"/>
      <c r="D4" s="71"/>
      <c r="E4" s="71"/>
      <c r="F4" s="71"/>
      <c r="G4" s="71"/>
      <c r="H4" s="71"/>
      <c r="I4" s="72"/>
    </row>
    <row r="5" spans="1:13" ht="120" x14ac:dyDescent="0.25">
      <c r="A5" s="35" t="s">
        <v>3</v>
      </c>
      <c r="B5" s="34" t="s">
        <v>32</v>
      </c>
      <c r="C5" s="34" t="s">
        <v>4</v>
      </c>
      <c r="D5" s="34" t="s">
        <v>11</v>
      </c>
      <c r="E5" s="34" t="s">
        <v>33</v>
      </c>
      <c r="F5" s="34" t="s">
        <v>5</v>
      </c>
      <c r="G5" s="34" t="s">
        <v>6</v>
      </c>
      <c r="H5" s="34" t="s">
        <v>7</v>
      </c>
      <c r="I5" s="36" t="s">
        <v>8</v>
      </c>
    </row>
    <row r="6" spans="1:13" x14ac:dyDescent="0.25">
      <c r="A6" s="37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23" t="s">
        <v>22</v>
      </c>
      <c r="G6" s="30" t="s">
        <v>53</v>
      </c>
      <c r="H6" s="23" t="s">
        <v>24</v>
      </c>
      <c r="I6" s="7" t="s">
        <v>25</v>
      </c>
    </row>
    <row r="7" spans="1:13" x14ac:dyDescent="0.25">
      <c r="A7" s="38">
        <v>1</v>
      </c>
      <c r="B7" s="44">
        <v>13</v>
      </c>
      <c r="C7" s="44">
        <v>-42.608780000000003</v>
      </c>
      <c r="D7" s="45" t="s">
        <v>31</v>
      </c>
      <c r="E7" s="45" t="s">
        <v>31</v>
      </c>
      <c r="F7" s="44">
        <f>$M$3-C7</f>
        <v>36.896129999999999</v>
      </c>
      <c r="G7" s="45" t="s">
        <v>31</v>
      </c>
      <c r="H7" s="45" t="s">
        <v>31</v>
      </c>
      <c r="I7" s="46" t="s">
        <v>31</v>
      </c>
      <c r="K7" s="27"/>
    </row>
    <row r="8" spans="1:13" x14ac:dyDescent="0.25">
      <c r="A8" s="38">
        <f>A7*2</f>
        <v>2</v>
      </c>
      <c r="B8" s="44">
        <v>6.5</v>
      </c>
      <c r="C8" s="44">
        <v>40.755138000000002</v>
      </c>
      <c r="D8" s="44">
        <f>F7/F8</f>
        <v>-0.79401520037923912</v>
      </c>
      <c r="E8" s="44">
        <f>(C9-C7)/(C9-C8)</f>
        <v>-0.65670495420830133</v>
      </c>
      <c r="F8" s="44">
        <f>$M$3-C8</f>
        <v>-46.467787999999999</v>
      </c>
      <c r="G8" s="44">
        <f>F7/3</f>
        <v>12.29871</v>
      </c>
      <c r="H8" s="44">
        <f>C8+G8</f>
        <v>53.053848000000002</v>
      </c>
      <c r="I8" s="47">
        <f>$M$3-H8</f>
        <v>-58.766497999999999</v>
      </c>
    </row>
    <row r="9" spans="1:13" x14ac:dyDescent="0.25">
      <c r="A9" s="38">
        <f t="shared" ref="A9:A30" si="0">A8*2</f>
        <v>4</v>
      </c>
      <c r="B9" s="44">
        <v>3.25</v>
      </c>
      <c r="C9" s="44">
        <v>-9.5639714999999992</v>
      </c>
      <c r="D9" s="44">
        <f t="shared" ref="D9:D19" si="1">F8/F9</f>
        <v>-12.065413910523962</v>
      </c>
      <c r="E9" s="44">
        <f t="shared" ref="E9:E19" si="2">(C10-C8)/(C10-C9)</f>
        <v>-15.066924619022439</v>
      </c>
      <c r="F9" s="44">
        <f t="shared" ref="F9:F19" si="3">$M$3-C9</f>
        <v>3.8513214999999992</v>
      </c>
      <c r="G9" s="44">
        <f t="shared" ref="G9:G30" si="4">F8/3</f>
        <v>-15.489262666666667</v>
      </c>
      <c r="H9" s="44">
        <f t="shared" ref="H9:H19" si="5">C9+G9</f>
        <v>-25.053234166666666</v>
      </c>
      <c r="I9" s="47">
        <f t="shared" ref="I9:I30" si="6">$M$3-H9</f>
        <v>19.340584166666666</v>
      </c>
    </row>
    <row r="10" spans="1:13" x14ac:dyDescent="0.25">
      <c r="A10" s="38">
        <f t="shared" si="0"/>
        <v>8</v>
      </c>
      <c r="B10" s="44">
        <v>1.625</v>
      </c>
      <c r="C10" s="44">
        <v>-6.4321270000000004</v>
      </c>
      <c r="D10" s="44">
        <f t="shared" si="1"/>
        <v>5.3529459593565845</v>
      </c>
      <c r="E10" s="44">
        <f t="shared" si="2"/>
        <v>6.6877321766008579</v>
      </c>
      <c r="F10" s="44">
        <f t="shared" si="3"/>
        <v>0.71947700000000037</v>
      </c>
      <c r="G10" s="44">
        <f t="shared" si="4"/>
        <v>1.2837738333333331</v>
      </c>
      <c r="H10" s="44">
        <f t="shared" si="5"/>
        <v>-5.1483531666666673</v>
      </c>
      <c r="I10" s="47">
        <f t="shared" si="6"/>
        <v>-0.56429683333333269</v>
      </c>
    </row>
    <row r="11" spans="1:13" x14ac:dyDescent="0.25">
      <c r="A11" s="38">
        <f t="shared" si="0"/>
        <v>16</v>
      </c>
      <c r="B11" s="44">
        <v>0.8125</v>
      </c>
      <c r="C11" s="44">
        <v>-5.8814954999999998</v>
      </c>
      <c r="D11" s="44">
        <f t="shared" si="1"/>
        <v>4.261155908804211</v>
      </c>
      <c r="E11" s="44">
        <f t="shared" si="2"/>
        <v>5.3262655134809185</v>
      </c>
      <c r="F11" s="44">
        <f t="shared" si="3"/>
        <v>0.16884549999999976</v>
      </c>
      <c r="G11" s="44">
        <f t="shared" si="4"/>
        <v>0.2398256666666668</v>
      </c>
      <c r="H11" s="44">
        <f t="shared" si="5"/>
        <v>-5.6416698333333333</v>
      </c>
      <c r="I11" s="47">
        <f t="shared" si="6"/>
        <v>-7.0980166666666733E-2</v>
      </c>
    </row>
    <row r="12" spans="1:13" x14ac:dyDescent="0.25">
      <c r="A12" s="38">
        <f t="shared" si="0"/>
        <v>32</v>
      </c>
      <c r="B12" s="44">
        <v>0.40625</v>
      </c>
      <c r="C12" s="44">
        <v>-5.7542191000000003</v>
      </c>
      <c r="D12" s="44">
        <f t="shared" si="1"/>
        <v>4.061803118181504</v>
      </c>
      <c r="E12" s="44">
        <f t="shared" si="2"/>
        <v>5.0772547587470127</v>
      </c>
      <c r="F12" s="44">
        <f t="shared" si="3"/>
        <v>4.1569100000000248E-2</v>
      </c>
      <c r="G12" s="44">
        <f t="shared" si="4"/>
        <v>5.6281833333333253E-2</v>
      </c>
      <c r="H12" s="44">
        <f t="shared" si="5"/>
        <v>-5.697937266666667</v>
      </c>
      <c r="I12" s="47">
        <f t="shared" si="6"/>
        <v>-1.4712733333333006E-2</v>
      </c>
    </row>
    <row r="13" spans="1:13" x14ac:dyDescent="0.25">
      <c r="A13" s="38">
        <f t="shared" si="0"/>
        <v>64</v>
      </c>
      <c r="B13" s="44">
        <v>0.203125</v>
      </c>
      <c r="C13" s="44">
        <v>-5.7230029</v>
      </c>
      <c r="D13" s="44">
        <f t="shared" si="1"/>
        <v>4.0152131286886048</v>
      </c>
      <c r="E13" s="44">
        <f t="shared" si="2"/>
        <v>5.018252967072427</v>
      </c>
      <c r="F13" s="44">
        <f t="shared" si="3"/>
        <v>1.0352899999999998E-2</v>
      </c>
      <c r="G13" s="44">
        <f t="shared" si="4"/>
        <v>1.385636666666675E-2</v>
      </c>
      <c r="H13" s="44">
        <f t="shared" si="5"/>
        <v>-5.7091465333333336</v>
      </c>
      <c r="I13" s="47">
        <f t="shared" si="6"/>
        <v>-3.5034666666664549E-3</v>
      </c>
    </row>
    <row r="14" spans="1:13" x14ac:dyDescent="0.25">
      <c r="A14" s="38">
        <f t="shared" si="0"/>
        <v>128</v>
      </c>
      <c r="B14" s="44">
        <v>0.1015625</v>
      </c>
      <c r="C14" s="44">
        <v>-5.7152342999999997</v>
      </c>
      <c r="D14" s="44">
        <f t="shared" si="1"/>
        <v>4.0060751460749131</v>
      </c>
      <c r="E14" s="44">
        <f t="shared" si="2"/>
        <v>5.0069114916453756</v>
      </c>
      <c r="F14" s="44">
        <f t="shared" si="3"/>
        <v>2.5842999999996508E-3</v>
      </c>
      <c r="G14" s="44">
        <f t="shared" si="4"/>
        <v>3.4509666666666661E-3</v>
      </c>
      <c r="H14" s="44">
        <f t="shared" si="5"/>
        <v>-5.711783333333333</v>
      </c>
      <c r="I14" s="47">
        <f t="shared" si="6"/>
        <v>-8.6666666666701531E-4</v>
      </c>
    </row>
    <row r="15" spans="1:13" x14ac:dyDescent="0.25">
      <c r="A15" s="38">
        <f t="shared" si="0"/>
        <v>256</v>
      </c>
      <c r="B15" s="44">
        <v>5.078125E-2</v>
      </c>
      <c r="C15" s="44">
        <v>-5.7132955000000001</v>
      </c>
      <c r="D15" s="44">
        <f t="shared" si="1"/>
        <v>4.0035631293560714</v>
      </c>
      <c r="E15" s="44">
        <f t="shared" si="2"/>
        <v>4.9901214241592413</v>
      </c>
      <c r="F15" s="44">
        <f t="shared" si="3"/>
        <v>6.4550000000007657E-4</v>
      </c>
      <c r="G15" s="44">
        <f t="shared" si="4"/>
        <v>8.6143333333321692E-4</v>
      </c>
      <c r="H15" s="44">
        <f t="shared" si="5"/>
        <v>-5.7124340666666669</v>
      </c>
      <c r="I15" s="47">
        <f t="shared" si="6"/>
        <v>-2.1593333333314035E-4</v>
      </c>
    </row>
    <row r="16" spans="1:13" x14ac:dyDescent="0.25">
      <c r="A16" s="38">
        <f t="shared" si="0"/>
        <v>512</v>
      </c>
      <c r="B16" s="44">
        <v>2.5390625E-2</v>
      </c>
      <c r="C16" s="44">
        <v>-5.7128095999999999</v>
      </c>
      <c r="D16" s="44">
        <f t="shared" si="1"/>
        <v>4.0444862155411903</v>
      </c>
      <c r="E16" s="44">
        <f t="shared" si="2"/>
        <v>5.2252173913024471</v>
      </c>
      <c r="F16" s="44">
        <f t="shared" si="3"/>
        <v>1.5959999999992647E-4</v>
      </c>
      <c r="G16" s="44">
        <f t="shared" si="4"/>
        <v>2.1516666666669218E-4</v>
      </c>
      <c r="H16" s="44">
        <f t="shared" si="5"/>
        <v>-5.7125944333333329</v>
      </c>
      <c r="I16" s="47">
        <f t="shared" si="6"/>
        <v>-5.5566666667061781E-5</v>
      </c>
    </row>
    <row r="17" spans="1:9" x14ac:dyDescent="0.25">
      <c r="A17" s="38">
        <f t="shared" si="0"/>
        <v>1024</v>
      </c>
      <c r="B17" s="44">
        <v>1.2695313E-2</v>
      </c>
      <c r="C17" s="44">
        <v>-5.7126945999999998</v>
      </c>
      <c r="D17" s="44">
        <f t="shared" si="1"/>
        <v>3.578475336334122</v>
      </c>
      <c r="E17" s="44">
        <f t="shared" si="2"/>
        <v>4.8983050847319847</v>
      </c>
      <c r="F17" s="44">
        <f t="shared" si="3"/>
        <v>4.4599999999839213E-5</v>
      </c>
      <c r="G17" s="44">
        <f t="shared" si="4"/>
        <v>5.3199999999975489E-5</v>
      </c>
      <c r="H17" s="44">
        <f t="shared" si="5"/>
        <v>-5.7126413999999999</v>
      </c>
      <c r="I17" s="47">
        <f t="shared" si="6"/>
        <v>-8.6000000001362764E-6</v>
      </c>
    </row>
    <row r="18" spans="1:9" x14ac:dyDescent="0.25">
      <c r="A18" s="38">
        <f t="shared" si="0"/>
        <v>2048</v>
      </c>
      <c r="B18" s="44">
        <v>6.3476562999999998E-3</v>
      </c>
      <c r="C18" s="44">
        <v>-5.7126650999999997</v>
      </c>
      <c r="D18" s="44">
        <f t="shared" si="1"/>
        <v>2.9536423841515358</v>
      </c>
      <c r="E18" s="44">
        <f t="shared" si="2"/>
        <v>2.7664670659013844</v>
      </c>
      <c r="F18" s="44">
        <f t="shared" si="3"/>
        <v>1.5099999999712566E-5</v>
      </c>
      <c r="G18" s="44">
        <f t="shared" si="4"/>
        <v>1.4866666666613071E-5</v>
      </c>
      <c r="H18" s="44">
        <f t="shared" si="5"/>
        <v>-5.7126502333333331</v>
      </c>
      <c r="I18" s="47">
        <f t="shared" si="6"/>
        <v>2.3333333309949467E-7</v>
      </c>
    </row>
    <row r="19" spans="1:9" x14ac:dyDescent="0.25">
      <c r="A19" s="38">
        <f t="shared" si="0"/>
        <v>4096</v>
      </c>
      <c r="B19" s="44">
        <v>3.1738281000000001E-3</v>
      </c>
      <c r="C19" s="44">
        <v>-5.7126484</v>
      </c>
      <c r="D19" s="44">
        <f t="shared" si="1"/>
        <v>-9.4374999995489723</v>
      </c>
      <c r="E19" s="44">
        <f t="shared" si="2"/>
        <v>4.1509433963212725</v>
      </c>
      <c r="F19" s="44">
        <f t="shared" si="3"/>
        <v>-1.6000000000460091E-6</v>
      </c>
      <c r="G19" s="44">
        <f t="shared" si="4"/>
        <v>5.0333333332375219E-6</v>
      </c>
      <c r="H19" s="44">
        <f t="shared" si="5"/>
        <v>-5.7126433666666667</v>
      </c>
      <c r="I19" s="47">
        <f t="shared" si="6"/>
        <v>-6.6333333332835309E-6</v>
      </c>
    </row>
    <row r="20" spans="1:9" x14ac:dyDescent="0.25">
      <c r="A20" s="38">
        <f t="shared" si="0"/>
        <v>8192</v>
      </c>
      <c r="B20" s="44">
        <v>1.5869141000000001E-3</v>
      </c>
      <c r="C20" s="44">
        <v>-5.7126431000000002</v>
      </c>
      <c r="D20" s="44">
        <f t="shared" ref="D20:D21" si="7">F19/F20</f>
        <v>0.23188405798407319</v>
      </c>
      <c r="E20" s="44">
        <f t="shared" ref="E20:E21" si="8">(C21-C19)/(C21-C20)</f>
        <v>0.77350427351335704</v>
      </c>
      <c r="F20" s="44">
        <f t="shared" ref="F20:F21" si="9">$M$3-C20</f>
        <v>-6.899999999809836E-6</v>
      </c>
      <c r="G20" s="44">
        <f t="shared" si="4"/>
        <v>-5.3333333334866972E-7</v>
      </c>
      <c r="H20" s="44">
        <f t="shared" ref="H20:H21" si="10">C20+G20</f>
        <v>-5.7126436333333332</v>
      </c>
      <c r="I20" s="47">
        <f t="shared" si="6"/>
        <v>-6.3666666667572258E-6</v>
      </c>
    </row>
    <row r="21" spans="1:9" x14ac:dyDescent="0.25">
      <c r="A21" s="38">
        <f t="shared" si="0"/>
        <v>16384</v>
      </c>
      <c r="B21" s="44">
        <v>7.9345703E-4</v>
      </c>
      <c r="C21" s="44">
        <v>-5.7126665000000001</v>
      </c>
      <c r="D21" s="44">
        <f t="shared" si="7"/>
        <v>-0.41818181816811628</v>
      </c>
      <c r="E21" s="44">
        <f t="shared" si="8"/>
        <v>0.34636871508726391</v>
      </c>
      <c r="F21" s="44">
        <f t="shared" si="9"/>
        <v>1.650000000008589E-5</v>
      </c>
      <c r="G21" s="44">
        <f t="shared" si="4"/>
        <v>-2.2999999999366119E-6</v>
      </c>
      <c r="H21" s="44">
        <f t="shared" si="10"/>
        <v>-5.7126688000000003</v>
      </c>
      <c r="I21" s="47">
        <f t="shared" si="6"/>
        <v>1.8800000000318562E-5</v>
      </c>
    </row>
    <row r="22" spans="1:9" x14ac:dyDescent="0.25">
      <c r="A22" s="38">
        <f t="shared" si="0"/>
        <v>32768</v>
      </c>
      <c r="B22" s="44">
        <v>3.9672851999999998E-4</v>
      </c>
      <c r="C22" s="44">
        <v>-5.7126307000000001</v>
      </c>
      <c r="D22" s="44">
        <f t="shared" ref="D22:D25" si="11">F21/F22</f>
        <v>-0.85492227979966096</v>
      </c>
      <c r="E22" s="44">
        <f t="shared" ref="E22:E25" si="12">(C23-C21)/(C23-C22)</f>
        <v>6.7741935487429226</v>
      </c>
      <c r="F22" s="44">
        <f t="shared" ref="F22:F25" si="13">$M$3-C22</f>
        <v>-1.9299999999944362E-5</v>
      </c>
      <c r="G22" s="44">
        <f t="shared" si="4"/>
        <v>5.5000000000286304E-6</v>
      </c>
      <c r="H22" s="44">
        <f t="shared" ref="H22:H25" si="14">C22+G22</f>
        <v>-5.7126251999999997</v>
      </c>
      <c r="I22" s="47">
        <f t="shared" si="6"/>
        <v>-2.4800000000269051E-5</v>
      </c>
    </row>
    <row r="23" spans="1:9" x14ac:dyDescent="0.25">
      <c r="A23" s="38">
        <f t="shared" si="0"/>
        <v>65536</v>
      </c>
      <c r="B23" s="44">
        <v>1.9836425999999999E-4</v>
      </c>
      <c r="C23" s="44">
        <v>-5.7126245000000004</v>
      </c>
      <c r="D23" s="44">
        <f t="shared" si="11"/>
        <v>0.75686274510869322</v>
      </c>
      <c r="E23" s="44">
        <f t="shared" si="12"/>
        <v>0.83333333334129189</v>
      </c>
      <c r="F23" s="44">
        <f t="shared" si="13"/>
        <v>-2.5499999999567535E-5</v>
      </c>
      <c r="G23" s="44">
        <f t="shared" si="4"/>
        <v>-6.4333333333147875E-6</v>
      </c>
      <c r="H23" s="44">
        <f t="shared" si="14"/>
        <v>-5.712630933333334</v>
      </c>
      <c r="I23" s="47">
        <f t="shared" si="6"/>
        <v>-1.9066666665956689E-5</v>
      </c>
    </row>
    <row r="24" spans="1:9" x14ac:dyDescent="0.25">
      <c r="A24" s="38">
        <f t="shared" si="0"/>
        <v>131072</v>
      </c>
      <c r="B24" s="44">
        <v>9.9182129E-5</v>
      </c>
      <c r="C24" s="44">
        <v>-5.7126617</v>
      </c>
      <c r="D24" s="44">
        <f t="shared" si="11"/>
        <v>-2.1794871794599286</v>
      </c>
      <c r="E24" s="44">
        <f t="shared" si="12"/>
        <v>-0.47619047619383287</v>
      </c>
      <c r="F24" s="44">
        <f t="shared" si="13"/>
        <v>1.1699999999947863E-5</v>
      </c>
      <c r="G24" s="44">
        <f t="shared" si="4"/>
        <v>-8.4999999998558451E-6</v>
      </c>
      <c r="H24" s="44">
        <f t="shared" si="14"/>
        <v>-5.7126701999999998</v>
      </c>
      <c r="I24" s="47">
        <f t="shared" si="6"/>
        <v>2.0199999999803708E-5</v>
      </c>
    </row>
    <row r="25" spans="1:9" x14ac:dyDescent="0.25">
      <c r="A25" s="38">
        <f t="shared" si="0"/>
        <v>262144</v>
      </c>
      <c r="B25" s="44">
        <v>4.9591064000000002E-5</v>
      </c>
      <c r="C25" s="44">
        <v>-5.7126365000000003</v>
      </c>
      <c r="D25" s="44">
        <f t="shared" si="11"/>
        <v>-0.86666666668421088</v>
      </c>
      <c r="E25" s="44">
        <f t="shared" si="12"/>
        <v>0.66129032258545883</v>
      </c>
      <c r="F25" s="44">
        <f t="shared" si="13"/>
        <v>-1.3499999999666557E-5</v>
      </c>
      <c r="G25" s="44">
        <f t="shared" si="4"/>
        <v>3.8999999999826214E-6</v>
      </c>
      <c r="H25" s="44">
        <f t="shared" si="14"/>
        <v>-5.7126326000000001</v>
      </c>
      <c r="I25" s="47">
        <f t="shared" si="6"/>
        <v>-1.7399999999945237E-5</v>
      </c>
    </row>
    <row r="26" spans="1:9" x14ac:dyDescent="0.25">
      <c r="A26" s="38">
        <f t="shared" si="0"/>
        <v>524288</v>
      </c>
      <c r="B26" s="44">
        <v>2.4795532000000001E-5</v>
      </c>
      <c r="C26" s="44">
        <v>-5.7127109000000003</v>
      </c>
      <c r="D26" s="44">
        <f t="shared" ref="D26:D30" si="15">F25/F26</f>
        <v>-0.22167487684089657</v>
      </c>
      <c r="E26" s="44">
        <f t="shared" ref="E26:E30" si="16">(C27-C25)/(C27-C26)</f>
        <v>0.59366466411863861</v>
      </c>
      <c r="F26" s="44">
        <f t="shared" ref="F26:F30" si="17">$M$3-C26</f>
        <v>6.0900000000252419E-5</v>
      </c>
      <c r="G26" s="44">
        <f t="shared" si="4"/>
        <v>-4.4999999998888525E-6</v>
      </c>
      <c r="H26" s="44">
        <f t="shared" ref="H26:H30" si="18">C26+G26</f>
        <v>-5.7127154000000004</v>
      </c>
      <c r="I26" s="47">
        <f t="shared" si="6"/>
        <v>6.5400000000437331E-5</v>
      </c>
    </row>
    <row r="27" spans="1:9" x14ac:dyDescent="0.25">
      <c r="A27" s="38">
        <f t="shared" si="0"/>
        <v>1048576</v>
      </c>
      <c r="B27" s="44">
        <v>1.2397766E-5</v>
      </c>
      <c r="C27" s="44">
        <v>-5.7125278000000002</v>
      </c>
      <c r="D27" s="44">
        <f t="shared" si="15"/>
        <v>-0.49836333879154721</v>
      </c>
      <c r="E27" s="44">
        <f t="shared" si="16"/>
        <v>0.85729872963909781</v>
      </c>
      <c r="F27" s="44">
        <f t="shared" si="17"/>
        <v>-1.2219999999985021E-4</v>
      </c>
      <c r="G27" s="44">
        <f t="shared" si="4"/>
        <v>2.030000000008414E-5</v>
      </c>
      <c r="H27" s="44">
        <f t="shared" si="18"/>
        <v>-5.7125075000000001</v>
      </c>
      <c r="I27" s="47">
        <f t="shared" si="6"/>
        <v>-1.4249999999993435E-4</v>
      </c>
    </row>
    <row r="28" spans="1:9" x14ac:dyDescent="0.25">
      <c r="A28" s="38">
        <f t="shared" si="0"/>
        <v>2097152</v>
      </c>
      <c r="B28" s="44">
        <v>6.1988831000000002E-6</v>
      </c>
      <c r="C28" s="44">
        <v>-5.7138109000000004</v>
      </c>
      <c r="D28" s="44">
        <f t="shared" si="15"/>
        <v>-0.10526315789457577</v>
      </c>
      <c r="E28" s="44">
        <f t="shared" si="16"/>
        <v>0.51810260647493112</v>
      </c>
      <c r="F28" s="44">
        <f t="shared" si="17"/>
        <v>1.1609000000003533E-3</v>
      </c>
      <c r="G28" s="44">
        <f t="shared" si="4"/>
        <v>-4.0733333333283404E-5</v>
      </c>
      <c r="H28" s="44">
        <f t="shared" si="18"/>
        <v>-5.7138516333333333</v>
      </c>
      <c r="I28" s="47">
        <f t="shared" si="6"/>
        <v>1.2016333333333407E-3</v>
      </c>
    </row>
    <row r="29" spans="1:9" x14ac:dyDescent="0.25">
      <c r="A29" s="38">
        <f t="shared" si="0"/>
        <v>4194304</v>
      </c>
      <c r="B29" s="44">
        <v>3.0994415000000001E-6</v>
      </c>
      <c r="C29" s="44">
        <v>-5.7111482999999996</v>
      </c>
      <c r="D29" s="44">
        <f t="shared" si="15"/>
        <v>-0.77305720183795501</v>
      </c>
      <c r="E29" s="44">
        <f t="shared" si="16"/>
        <v>0.60734983999637693</v>
      </c>
      <c r="F29" s="44">
        <f t="shared" si="17"/>
        <v>-1.5017000000003833E-3</v>
      </c>
      <c r="G29" s="44">
        <f t="shared" si="4"/>
        <v>3.8696666666678442E-4</v>
      </c>
      <c r="H29" s="44">
        <f t="shared" si="18"/>
        <v>-5.7107613333333331</v>
      </c>
      <c r="I29" s="47">
        <f t="shared" si="6"/>
        <v>-1.8886666666668717E-3</v>
      </c>
    </row>
    <row r="30" spans="1:9" ht="15.75" thickBot="1" x14ac:dyDescent="0.3">
      <c r="A30" s="39">
        <f t="shared" si="0"/>
        <v>8388608</v>
      </c>
      <c r="B30" s="48">
        <v>1.5497208E-6</v>
      </c>
      <c r="C30" s="48">
        <v>-5.7179294000000001</v>
      </c>
      <c r="D30" s="48">
        <f t="shared" si="15"/>
        <v>-0.28444520210637014</v>
      </c>
      <c r="E30" s="48">
        <f t="shared" si="16"/>
        <v>0.99881406370634784</v>
      </c>
      <c r="F30" s="48">
        <f t="shared" si="17"/>
        <v>5.2794000000000452E-3</v>
      </c>
      <c r="G30" s="48">
        <f t="shared" si="4"/>
        <v>-5.0056666666679439E-4</v>
      </c>
      <c r="H30" s="48">
        <f t="shared" si="18"/>
        <v>-5.7184299666666671</v>
      </c>
      <c r="I30" s="49">
        <f t="shared" si="6"/>
        <v>5.7799666666671357E-3</v>
      </c>
    </row>
    <row r="31" spans="1:9" x14ac:dyDescent="0.25">
      <c r="A31" s="22"/>
      <c r="B31" s="24"/>
    </row>
    <row r="32" spans="1:9" x14ac:dyDescent="0.25">
      <c r="A32" s="22"/>
      <c r="B32" s="24"/>
    </row>
    <row r="33" spans="1:9" ht="15.75" thickBot="1" x14ac:dyDescent="0.3">
      <c r="A33" s="22"/>
      <c r="B33" s="24"/>
    </row>
    <row r="34" spans="1:9" x14ac:dyDescent="0.25">
      <c r="A34" s="73" t="s">
        <v>36</v>
      </c>
      <c r="B34" s="74"/>
      <c r="C34" s="74"/>
      <c r="D34" s="74"/>
      <c r="E34" s="74"/>
      <c r="F34" s="74"/>
      <c r="G34" s="74"/>
      <c r="H34" s="74"/>
      <c r="I34" s="75"/>
    </row>
    <row r="35" spans="1:9" x14ac:dyDescent="0.25">
      <c r="A35" s="70" t="s">
        <v>37</v>
      </c>
      <c r="B35" s="71"/>
      <c r="C35" s="71"/>
      <c r="D35" s="71"/>
      <c r="E35" s="71"/>
      <c r="F35" s="71"/>
      <c r="G35" s="71"/>
      <c r="H35" s="71"/>
      <c r="I35" s="72"/>
    </row>
    <row r="36" spans="1:9" x14ac:dyDescent="0.25">
      <c r="A36" s="70" t="s">
        <v>44</v>
      </c>
      <c r="B36" s="71"/>
      <c r="C36" s="71"/>
      <c r="D36" s="71"/>
      <c r="E36" s="71"/>
      <c r="F36" s="71"/>
      <c r="G36" s="71"/>
      <c r="H36" s="71"/>
      <c r="I36" s="72"/>
    </row>
    <row r="37" spans="1:9" x14ac:dyDescent="0.25">
      <c r="A37" s="70" t="s">
        <v>40</v>
      </c>
      <c r="B37" s="71"/>
      <c r="C37" s="71"/>
      <c r="D37" s="71"/>
      <c r="E37" s="71"/>
      <c r="F37" s="71"/>
      <c r="G37" s="71"/>
      <c r="H37" s="71"/>
      <c r="I37" s="72"/>
    </row>
    <row r="38" spans="1:9" ht="88.5" x14ac:dyDescent="0.25">
      <c r="A38" s="35" t="s">
        <v>3</v>
      </c>
      <c r="B38" s="34" t="s">
        <v>32</v>
      </c>
      <c r="C38" s="34" t="s">
        <v>4</v>
      </c>
      <c r="D38" s="34" t="s">
        <v>11</v>
      </c>
      <c r="E38" s="34" t="s">
        <v>33</v>
      </c>
      <c r="F38" s="34" t="s">
        <v>5</v>
      </c>
      <c r="G38" s="34" t="s">
        <v>6</v>
      </c>
      <c r="H38" s="34" t="s">
        <v>7</v>
      </c>
      <c r="I38" s="36" t="s">
        <v>8</v>
      </c>
    </row>
    <row r="39" spans="1:9" x14ac:dyDescent="0.25">
      <c r="A39" s="37" t="s">
        <v>9</v>
      </c>
      <c r="B39" s="6" t="s">
        <v>34</v>
      </c>
      <c r="C39" s="6" t="s">
        <v>20</v>
      </c>
      <c r="D39" s="6" t="s">
        <v>21</v>
      </c>
      <c r="E39" s="6" t="s">
        <v>35</v>
      </c>
      <c r="F39" s="23" t="s">
        <v>22</v>
      </c>
      <c r="G39" s="30" t="s">
        <v>53</v>
      </c>
      <c r="H39" s="23" t="s">
        <v>24</v>
      </c>
      <c r="I39" s="7" t="s">
        <v>25</v>
      </c>
    </row>
    <row r="40" spans="1:9" x14ac:dyDescent="0.25">
      <c r="A40" s="38">
        <v>1</v>
      </c>
      <c r="B40" s="44">
        <v>13</v>
      </c>
      <c r="C40" s="44">
        <v>8092.9062999999996</v>
      </c>
      <c r="D40" s="45" t="s">
        <v>31</v>
      </c>
      <c r="E40" s="45" t="s">
        <v>31</v>
      </c>
      <c r="F40" s="44">
        <f>$M$2-C40</f>
        <v>149400.57703330001</v>
      </c>
      <c r="G40" s="45" t="s">
        <v>31</v>
      </c>
      <c r="H40" s="45" t="s">
        <v>31</v>
      </c>
      <c r="I40" s="46" t="s">
        <v>31</v>
      </c>
    </row>
    <row r="41" spans="1:9" x14ac:dyDescent="0.25">
      <c r="A41" s="38">
        <f>A40*2</f>
        <v>2</v>
      </c>
      <c r="B41" s="44">
        <v>6.5</v>
      </c>
      <c r="C41" s="44">
        <v>86639.945000000007</v>
      </c>
      <c r="D41" s="44">
        <f>F40/F41</f>
        <v>2.1085831497999328</v>
      </c>
      <c r="E41" s="44">
        <f>(C42-C40)/(C42-C41)</f>
        <v>2.5387445447686248</v>
      </c>
      <c r="F41" s="44">
        <f>$M$2-C41</f>
        <v>70853.538333300006</v>
      </c>
      <c r="G41" s="44">
        <f>F40/3</f>
        <v>49800.192344433337</v>
      </c>
      <c r="H41" s="44">
        <f>C41+G41</f>
        <v>136440.13734443334</v>
      </c>
      <c r="I41" s="47">
        <f>$M$2-H41</f>
        <v>21053.345988866669</v>
      </c>
    </row>
    <row r="42" spans="1:9" x14ac:dyDescent="0.25">
      <c r="A42" s="38">
        <f t="shared" ref="A42:A63" si="19">A41*2</f>
        <v>4</v>
      </c>
      <c r="B42" s="44">
        <v>3.25</v>
      </c>
      <c r="C42" s="44">
        <v>137686.13</v>
      </c>
      <c r="D42" s="44">
        <f t="shared" ref="D42:D63" si="20">F41/F42</f>
        <v>3.57713305463085</v>
      </c>
      <c r="E42" s="44">
        <f t="shared" ref="E42:E63" si="21">(C43-C41)/(C43-C42)</f>
        <v>4.4667163565857262</v>
      </c>
      <c r="F42" s="44">
        <f t="shared" ref="F42:F63" si="22">$M$2-C42</f>
        <v>19807.353333300009</v>
      </c>
      <c r="G42" s="44">
        <f t="shared" ref="G42:G63" si="23">F41/3</f>
        <v>23617.846111100003</v>
      </c>
      <c r="H42" s="44">
        <f t="shared" ref="H42:H63" si="24">C42+G42</f>
        <v>161303.9761111</v>
      </c>
      <c r="I42" s="47">
        <f t="shared" ref="I42:I63" si="25">$M$2-H42</f>
        <v>-3810.4927777999837</v>
      </c>
    </row>
    <row r="43" spans="1:9" x14ac:dyDescent="0.25">
      <c r="A43" s="38">
        <f t="shared" si="19"/>
        <v>8</v>
      </c>
      <c r="B43" s="44">
        <v>1.625</v>
      </c>
      <c r="C43" s="44">
        <v>152410.78</v>
      </c>
      <c r="D43" s="44">
        <f t="shared" si="20"/>
        <v>3.8970114984932267</v>
      </c>
      <c r="E43" s="44">
        <f t="shared" si="21"/>
        <v>4.8709757982680584</v>
      </c>
      <c r="F43" s="44">
        <f t="shared" si="22"/>
        <v>5082.7033333000145</v>
      </c>
      <c r="G43" s="44">
        <f t="shared" si="23"/>
        <v>6602.4511111000029</v>
      </c>
      <c r="H43" s="44">
        <f t="shared" si="24"/>
        <v>159013.2311111</v>
      </c>
      <c r="I43" s="47">
        <f t="shared" si="25"/>
        <v>-1519.7477777999884</v>
      </c>
    </row>
    <row r="44" spans="1:9" x14ac:dyDescent="0.25">
      <c r="A44" s="38">
        <f t="shared" si="19"/>
        <v>16</v>
      </c>
      <c r="B44" s="44">
        <v>0.8125</v>
      </c>
      <c r="C44" s="44">
        <v>156214.64000000001</v>
      </c>
      <c r="D44" s="44">
        <f t="shared" si="20"/>
        <v>3.9744534775689222</v>
      </c>
      <c r="E44" s="44">
        <f t="shared" si="21"/>
        <v>4.9680996442766823</v>
      </c>
      <c r="F44" s="44">
        <f t="shared" si="22"/>
        <v>1278.8433332999994</v>
      </c>
      <c r="G44" s="44">
        <f t="shared" si="23"/>
        <v>1694.2344444333382</v>
      </c>
      <c r="H44" s="44">
        <f t="shared" si="24"/>
        <v>157908.87444443334</v>
      </c>
      <c r="I44" s="47">
        <f t="shared" si="25"/>
        <v>-415.3911111333291</v>
      </c>
    </row>
    <row r="45" spans="1:9" x14ac:dyDescent="0.25">
      <c r="A45" s="38">
        <f t="shared" si="19"/>
        <v>32</v>
      </c>
      <c r="B45" s="44">
        <v>0.40625</v>
      </c>
      <c r="C45" s="44">
        <v>157173.25</v>
      </c>
      <c r="D45" s="44">
        <f t="shared" si="20"/>
        <v>3.9934735092111855</v>
      </c>
      <c r="E45" s="44">
        <f t="shared" si="21"/>
        <v>4.9915473017986844</v>
      </c>
      <c r="F45" s="44">
        <f t="shared" si="22"/>
        <v>320.23333330001333</v>
      </c>
      <c r="G45" s="44">
        <f t="shared" si="23"/>
        <v>426.2811110999998</v>
      </c>
      <c r="H45" s="44">
        <f t="shared" si="24"/>
        <v>157599.53111109999</v>
      </c>
      <c r="I45" s="47">
        <f t="shared" si="25"/>
        <v>-106.04777779997676</v>
      </c>
    </row>
    <row r="46" spans="1:9" x14ac:dyDescent="0.25">
      <c r="A46" s="38">
        <f t="shared" si="19"/>
        <v>64</v>
      </c>
      <c r="B46" s="44">
        <v>0.203125</v>
      </c>
      <c r="C46" s="44">
        <v>157413.41</v>
      </c>
      <c r="D46" s="44">
        <f t="shared" si="20"/>
        <v>3.9992506881185874</v>
      </c>
      <c r="E46" s="44">
        <f t="shared" si="21"/>
        <v>4.9986679986682114</v>
      </c>
      <c r="F46" s="44">
        <f t="shared" si="22"/>
        <v>80.073333300009836</v>
      </c>
      <c r="G46" s="44">
        <f t="shared" si="23"/>
        <v>106.74444443333778</v>
      </c>
      <c r="H46" s="44">
        <f t="shared" si="24"/>
        <v>157520.15444443334</v>
      </c>
      <c r="I46" s="47">
        <f t="shared" si="25"/>
        <v>-26.67111113332794</v>
      </c>
    </row>
    <row r="47" spans="1:9" x14ac:dyDescent="0.25">
      <c r="A47" s="38">
        <f t="shared" si="19"/>
        <v>128</v>
      </c>
      <c r="B47" s="44">
        <v>0.1015625</v>
      </c>
      <c r="C47" s="44">
        <v>157473.47</v>
      </c>
      <c r="D47" s="44">
        <f t="shared" si="20"/>
        <v>4.0009993387738749</v>
      </c>
      <c r="E47" s="44">
        <f t="shared" si="21"/>
        <v>5.001332445034004</v>
      </c>
      <c r="F47" s="44">
        <f t="shared" si="22"/>
        <v>20.013333300012164</v>
      </c>
      <c r="G47" s="44">
        <f t="shared" si="23"/>
        <v>26.69111110000328</v>
      </c>
      <c r="H47" s="44">
        <f t="shared" si="24"/>
        <v>157500.16111109999</v>
      </c>
      <c r="I47" s="47">
        <f t="shared" si="25"/>
        <v>-6.6777777999814134</v>
      </c>
    </row>
    <row r="48" spans="1:9" x14ac:dyDescent="0.25">
      <c r="A48" s="38">
        <f t="shared" si="19"/>
        <v>256</v>
      </c>
      <c r="B48" s="44">
        <v>5.078125E-2</v>
      </c>
      <c r="C48" s="44">
        <v>157488.48000000001</v>
      </c>
      <c r="D48" s="44">
        <f t="shared" si="20"/>
        <v>4.0000000199868282</v>
      </c>
      <c r="E48" s="44">
        <f t="shared" si="21"/>
        <v>5.0026666666691506</v>
      </c>
      <c r="F48" s="44">
        <f t="shared" si="22"/>
        <v>5.0033333000028506</v>
      </c>
      <c r="G48" s="44">
        <f t="shared" si="23"/>
        <v>6.6711111000040546</v>
      </c>
      <c r="H48" s="44">
        <f t="shared" si="24"/>
        <v>157495.15111110001</v>
      </c>
      <c r="I48" s="47">
        <f t="shared" si="25"/>
        <v>-1.667777800001204</v>
      </c>
    </row>
    <row r="49" spans="1:9" x14ac:dyDescent="0.25">
      <c r="A49" s="38">
        <f t="shared" si="19"/>
        <v>512</v>
      </c>
      <c r="B49" s="44">
        <v>2.5390625E-2</v>
      </c>
      <c r="C49" s="44">
        <v>157492.23000000001</v>
      </c>
      <c r="D49" s="44">
        <f t="shared" si="20"/>
        <v>3.9920213561639755</v>
      </c>
      <c r="E49" s="44">
        <f t="shared" si="21"/>
        <v>4.9062500000331584</v>
      </c>
      <c r="F49" s="44">
        <f t="shared" si="22"/>
        <v>1.2533333000028506</v>
      </c>
      <c r="G49" s="44">
        <f t="shared" si="23"/>
        <v>1.6677777666676168</v>
      </c>
      <c r="H49" s="44">
        <f t="shared" si="24"/>
        <v>157493.89777776669</v>
      </c>
      <c r="I49" s="47">
        <f t="shared" si="25"/>
        <v>-0.41444446667446755</v>
      </c>
    </row>
    <row r="50" spans="1:9" x14ac:dyDescent="0.25">
      <c r="A50" s="38">
        <f t="shared" si="19"/>
        <v>1024</v>
      </c>
      <c r="B50" s="44">
        <v>1.2695313E-2</v>
      </c>
      <c r="C50" s="44">
        <v>157493.19</v>
      </c>
      <c r="D50" s="44">
        <f t="shared" si="20"/>
        <v>4.2727276444776372</v>
      </c>
      <c r="E50" s="44">
        <f t="shared" si="21"/>
        <v>5.1739130432526927</v>
      </c>
      <c r="F50" s="44">
        <f t="shared" si="22"/>
        <v>0.29333330001099966</v>
      </c>
      <c r="G50" s="44">
        <f t="shared" si="23"/>
        <v>0.41777776666761685</v>
      </c>
      <c r="H50" s="44">
        <f t="shared" si="24"/>
        <v>157493.60777776668</v>
      </c>
      <c r="I50" s="47">
        <f t="shared" si="25"/>
        <v>-0.12444446666631848</v>
      </c>
    </row>
    <row r="51" spans="1:9" x14ac:dyDescent="0.25">
      <c r="A51" s="38">
        <f t="shared" si="19"/>
        <v>2048</v>
      </c>
      <c r="B51" s="44">
        <v>6.3476562999999998E-3</v>
      </c>
      <c r="C51" s="44">
        <v>157493.42000000001</v>
      </c>
      <c r="D51" s="44">
        <f t="shared" si="20"/>
        <v>4.631580858862252</v>
      </c>
      <c r="E51" s="44">
        <f t="shared" si="21"/>
        <v>-6.6666666673134181</v>
      </c>
      <c r="F51" s="44">
        <f t="shared" si="22"/>
        <v>6.3333300000522286E-2</v>
      </c>
      <c r="G51" s="44">
        <f t="shared" si="23"/>
        <v>9.7777766670333222E-2</v>
      </c>
      <c r="H51" s="44">
        <f t="shared" si="24"/>
        <v>157493.51777776668</v>
      </c>
      <c r="I51" s="47">
        <f t="shared" si="25"/>
        <v>-3.4444466669810936E-2</v>
      </c>
    </row>
    <row r="52" spans="1:9" x14ac:dyDescent="0.25">
      <c r="A52" s="38">
        <f t="shared" si="19"/>
        <v>4096</v>
      </c>
      <c r="B52" s="44">
        <v>3.1738281000000001E-3</v>
      </c>
      <c r="C52" s="44">
        <v>157493.39000000001</v>
      </c>
      <c r="D52" s="44">
        <f t="shared" si="20"/>
        <v>0.67857131378573177</v>
      </c>
      <c r="E52" s="44">
        <f t="shared" si="21"/>
        <v>0.8421052631417707</v>
      </c>
      <c r="F52" s="44">
        <f t="shared" si="22"/>
        <v>9.3333299999358132E-2</v>
      </c>
      <c r="G52" s="44">
        <f t="shared" si="23"/>
        <v>2.1111100000174094E-2</v>
      </c>
      <c r="H52" s="44">
        <f t="shared" si="24"/>
        <v>157493.41111110002</v>
      </c>
      <c r="I52" s="47">
        <f t="shared" si="25"/>
        <v>7.222219998948276E-2</v>
      </c>
    </row>
    <row r="53" spans="1:9" x14ac:dyDescent="0.25">
      <c r="A53" s="38">
        <f t="shared" si="19"/>
        <v>8192</v>
      </c>
      <c r="B53" s="44">
        <v>1.5869141000000001E-3</v>
      </c>
      <c r="C53" s="44">
        <v>157493.57999999999</v>
      </c>
      <c r="D53" s="44">
        <f t="shared" si="20"/>
        <v>-0.96551656386936358</v>
      </c>
      <c r="E53" s="44">
        <f t="shared" si="21"/>
        <v>-0.72727272724867453</v>
      </c>
      <c r="F53" s="44">
        <f t="shared" si="22"/>
        <v>-9.6666699973866343E-2</v>
      </c>
      <c r="G53" s="44">
        <f t="shared" si="23"/>
        <v>3.1111099999786045E-2</v>
      </c>
      <c r="H53" s="44">
        <f t="shared" si="24"/>
        <v>157493.61111109998</v>
      </c>
      <c r="I53" s="47">
        <f t="shared" si="25"/>
        <v>-0.12777779996395111</v>
      </c>
    </row>
    <row r="54" spans="1:9" x14ac:dyDescent="0.25">
      <c r="A54" s="38">
        <f t="shared" si="19"/>
        <v>16384</v>
      </c>
      <c r="B54" s="44">
        <v>7.9345703E-4</v>
      </c>
      <c r="C54" s="44">
        <v>157493.47</v>
      </c>
      <c r="D54" s="44">
        <f t="shared" si="20"/>
        <v>-7.2500206164774221</v>
      </c>
      <c r="E54" s="44">
        <f t="shared" si="21"/>
        <v>1.5499999998981366</v>
      </c>
      <c r="F54" s="44">
        <f t="shared" si="22"/>
        <v>1.3333300012163818E-2</v>
      </c>
      <c r="G54" s="44">
        <f t="shared" si="23"/>
        <v>-3.2222233324622117E-2</v>
      </c>
      <c r="H54" s="44">
        <f t="shared" si="24"/>
        <v>157493.43777776667</v>
      </c>
      <c r="I54" s="47">
        <f t="shared" si="25"/>
        <v>4.5555533346487209E-2</v>
      </c>
    </row>
    <row r="55" spans="1:9" x14ac:dyDescent="0.25">
      <c r="A55" s="38">
        <f t="shared" si="19"/>
        <v>32768</v>
      </c>
      <c r="B55" s="44">
        <v>3.9672851999999998E-4</v>
      </c>
      <c r="C55" s="44">
        <v>157493.26999999999</v>
      </c>
      <c r="D55" s="44">
        <f t="shared" si="20"/>
        <v>6.2499853565645809E-2</v>
      </c>
      <c r="E55" s="44">
        <f t="shared" si="21"/>
        <v>0.13043478259769231</v>
      </c>
      <c r="F55" s="44">
        <f t="shared" si="22"/>
        <v>0.21333330002380535</v>
      </c>
      <c r="G55" s="44">
        <f t="shared" si="23"/>
        <v>4.444433337387939E-3</v>
      </c>
      <c r="H55" s="44">
        <f t="shared" si="24"/>
        <v>157493.27444443334</v>
      </c>
      <c r="I55" s="47">
        <f t="shared" si="25"/>
        <v>0.20888886667671613</v>
      </c>
    </row>
    <row r="56" spans="1:9" x14ac:dyDescent="0.25">
      <c r="A56" s="38">
        <f t="shared" si="19"/>
        <v>65536</v>
      </c>
      <c r="B56" s="44">
        <v>1.9836425999999999E-4</v>
      </c>
      <c r="C56" s="44">
        <v>157493.5</v>
      </c>
      <c r="D56" s="44">
        <f t="shared" si="20"/>
        <v>-12.799972411719358</v>
      </c>
      <c r="E56" s="44">
        <f t="shared" si="21"/>
        <v>-3.6000000012805686</v>
      </c>
      <c r="F56" s="44">
        <f t="shared" si="22"/>
        <v>-1.6666699986672029E-2</v>
      </c>
      <c r="G56" s="44">
        <f t="shared" si="23"/>
        <v>7.1111100007935121E-2</v>
      </c>
      <c r="H56" s="44">
        <f t="shared" si="24"/>
        <v>157493.5711111</v>
      </c>
      <c r="I56" s="47">
        <f t="shared" si="25"/>
        <v>-8.7777799984905869E-2</v>
      </c>
    </row>
    <row r="57" spans="1:9" x14ac:dyDescent="0.25">
      <c r="A57" s="38">
        <f t="shared" si="19"/>
        <v>131072</v>
      </c>
      <c r="B57" s="44">
        <v>9.9182129E-5</v>
      </c>
      <c r="C57" s="44">
        <v>157493.45000000001</v>
      </c>
      <c r="D57" s="44">
        <f t="shared" si="20"/>
        <v>-0.50000149957636375</v>
      </c>
      <c r="E57" s="44">
        <f t="shared" si="21"/>
        <v>1.4545454543770853</v>
      </c>
      <c r="F57" s="44">
        <f t="shared" si="22"/>
        <v>3.3333300001686439E-2</v>
      </c>
      <c r="G57" s="44">
        <f t="shared" si="23"/>
        <v>-5.5555666622240096E-3</v>
      </c>
      <c r="H57" s="44">
        <f t="shared" si="24"/>
        <v>157493.44444443335</v>
      </c>
      <c r="I57" s="47">
        <f t="shared" si="25"/>
        <v>3.8888866663910449E-2</v>
      </c>
    </row>
    <row r="58" spans="1:9" x14ac:dyDescent="0.25">
      <c r="A58" s="38">
        <f t="shared" si="19"/>
        <v>262144</v>
      </c>
      <c r="B58" s="44">
        <v>4.9591064000000002E-5</v>
      </c>
      <c r="C58" s="44">
        <v>157493.34</v>
      </c>
      <c r="D58" s="44">
        <f t="shared" si="20"/>
        <v>0.23255796104446569</v>
      </c>
      <c r="E58" s="44">
        <f t="shared" si="21"/>
        <v>1.3928571429128263</v>
      </c>
      <c r="F58" s="44">
        <f t="shared" si="22"/>
        <v>0.14333330001682043</v>
      </c>
      <c r="G58" s="44">
        <f t="shared" si="23"/>
        <v>1.1111100000562146E-2</v>
      </c>
      <c r="H58" s="44">
        <f t="shared" si="24"/>
        <v>157493.3511111</v>
      </c>
      <c r="I58" s="47">
        <f t="shared" si="25"/>
        <v>0.13222220001625828</v>
      </c>
    </row>
    <row r="59" spans="1:9" x14ac:dyDescent="0.25">
      <c r="A59" s="38">
        <f t="shared" si="19"/>
        <v>524288</v>
      </c>
      <c r="B59" s="44">
        <v>2.4795532000000001E-5</v>
      </c>
      <c r="C59" s="44">
        <v>157493.06</v>
      </c>
      <c r="D59" s="44">
        <f t="shared" si="20"/>
        <v>0.33858262511245746</v>
      </c>
      <c r="E59" s="44">
        <f t="shared" si="21"/>
        <v>1.6222222222035383</v>
      </c>
      <c r="F59" s="44">
        <f t="shared" si="22"/>
        <v>0.42333330001565628</v>
      </c>
      <c r="G59" s="44">
        <f t="shared" si="23"/>
        <v>4.7777766672273479E-2</v>
      </c>
      <c r="H59" s="44">
        <f t="shared" si="24"/>
        <v>157493.10777776668</v>
      </c>
      <c r="I59" s="47">
        <f t="shared" si="25"/>
        <v>0.37555553333368152</v>
      </c>
    </row>
    <row r="60" spans="1:9" x14ac:dyDescent="0.25">
      <c r="A60" s="38">
        <f t="shared" si="19"/>
        <v>1048576</v>
      </c>
      <c r="B60" s="44">
        <v>1.2397766E-5</v>
      </c>
      <c r="C60" s="44">
        <v>157492.60999999999</v>
      </c>
      <c r="D60" s="44">
        <f t="shared" si="20"/>
        <v>0.48473280476356978</v>
      </c>
      <c r="E60" s="44">
        <f t="shared" si="21"/>
        <v>0.84429065743617082</v>
      </c>
      <c r="F60" s="44">
        <f t="shared" si="22"/>
        <v>0.87333330002729781</v>
      </c>
      <c r="G60" s="44">
        <f t="shared" si="23"/>
        <v>0.14111110000521876</v>
      </c>
      <c r="H60" s="44">
        <f t="shared" si="24"/>
        <v>157492.75111109999</v>
      </c>
      <c r="I60" s="47">
        <f t="shared" si="25"/>
        <v>0.73222220002207905</v>
      </c>
    </row>
    <row r="61" spans="1:9" x14ac:dyDescent="0.25">
      <c r="A61" s="38">
        <f t="shared" si="19"/>
        <v>2097152</v>
      </c>
      <c r="B61" s="44">
        <v>6.1988831000000002E-6</v>
      </c>
      <c r="C61" s="44">
        <v>157495.5</v>
      </c>
      <c r="D61" s="44">
        <f t="shared" si="20"/>
        <v>-0.43305782756916134</v>
      </c>
      <c r="E61" s="44">
        <f t="shared" si="21"/>
        <v>1.1344186046518125</v>
      </c>
      <c r="F61" s="44">
        <f t="shared" si="22"/>
        <v>-2.016666699986672</v>
      </c>
      <c r="G61" s="44">
        <f t="shared" si="23"/>
        <v>0.29111110000909929</v>
      </c>
      <c r="H61" s="44">
        <f t="shared" si="24"/>
        <v>157495.7911111</v>
      </c>
      <c r="I61" s="47">
        <f t="shared" si="25"/>
        <v>-2.30777779998607</v>
      </c>
    </row>
    <row r="62" spans="1:9" x14ac:dyDescent="0.25">
      <c r="A62" s="38">
        <f t="shared" si="19"/>
        <v>4194304</v>
      </c>
      <c r="B62" s="44">
        <v>3.0994415000000001E-6</v>
      </c>
      <c r="C62" s="44">
        <v>157517</v>
      </c>
      <c r="D62" s="44">
        <f t="shared" si="20"/>
        <v>8.5754785136611861E-2</v>
      </c>
      <c r="E62" s="44">
        <f t="shared" si="21"/>
        <v>0.90367383512545307</v>
      </c>
      <c r="F62" s="44">
        <f t="shared" si="22"/>
        <v>-23.516666699986672</v>
      </c>
      <c r="G62" s="44">
        <f t="shared" si="23"/>
        <v>-0.67222223332889064</v>
      </c>
      <c r="H62" s="44">
        <f t="shared" si="24"/>
        <v>157516.32777776668</v>
      </c>
      <c r="I62" s="47">
        <f t="shared" si="25"/>
        <v>-22.844444466667483</v>
      </c>
    </row>
    <row r="63" spans="1:9" ht="15.75" thickBot="1" x14ac:dyDescent="0.3">
      <c r="A63" s="39">
        <f t="shared" si="19"/>
        <v>8388608</v>
      </c>
      <c r="B63" s="48">
        <v>1.5497208E-6</v>
      </c>
      <c r="C63" s="48">
        <v>157293.79999999999</v>
      </c>
      <c r="D63" s="48">
        <f t="shared" si="20"/>
        <v>-0.11776980237330469</v>
      </c>
      <c r="E63" s="48">
        <f t="shared" si="21"/>
        <v>1.0014190006217665</v>
      </c>
      <c r="F63" s="48">
        <f t="shared" si="22"/>
        <v>199.68333330002497</v>
      </c>
      <c r="G63" s="48">
        <f t="shared" si="23"/>
        <v>-7.838888899995557</v>
      </c>
      <c r="H63" s="48">
        <f t="shared" si="24"/>
        <v>157285.96111109998</v>
      </c>
      <c r="I63" s="49">
        <f t="shared" si="25"/>
        <v>207.52222220003023</v>
      </c>
    </row>
    <row r="64" spans="1:9" x14ac:dyDescent="0.25">
      <c r="A64" s="26"/>
      <c r="B64" s="29"/>
      <c r="C64" s="29"/>
      <c r="D64" s="28"/>
      <c r="E64" s="28"/>
      <c r="F64" s="28"/>
      <c r="G64" s="28"/>
      <c r="H64" s="28"/>
      <c r="I64" s="28"/>
    </row>
  </sheetData>
  <mergeCells count="8">
    <mergeCell ref="A35:I35"/>
    <mergeCell ref="A36:I36"/>
    <mergeCell ref="A37:I37"/>
    <mergeCell ref="A1:I1"/>
    <mergeCell ref="A2:I2"/>
    <mergeCell ref="A3:I3"/>
    <mergeCell ref="A4:I4"/>
    <mergeCell ref="A34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42A4-42F9-4E20-99B0-1F27C3A2FAFF}">
  <dimension ref="A1:M63"/>
  <sheetViews>
    <sheetView zoomScale="130" zoomScaleNormal="130" workbookViewId="0">
      <selection activeCell="G6" sqref="G6"/>
    </sheetView>
  </sheetViews>
  <sheetFormatPr defaultRowHeight="15" x14ac:dyDescent="0.25"/>
  <cols>
    <col min="1" max="1" width="13.7109375" customWidth="1"/>
    <col min="2" max="9" width="15.7109375" customWidth="1"/>
    <col min="13" max="13" width="10.5703125" bestFit="1" customWidth="1"/>
  </cols>
  <sheetData>
    <row r="1" spans="1:13" x14ac:dyDescent="0.25">
      <c r="A1" s="73" t="s">
        <v>41</v>
      </c>
      <c r="B1" s="74"/>
      <c r="C1" s="74"/>
      <c r="D1" s="74"/>
      <c r="E1" s="74"/>
      <c r="F1" s="74"/>
      <c r="G1" s="74"/>
      <c r="H1" s="74"/>
      <c r="I1" s="75"/>
    </row>
    <row r="2" spans="1:13" x14ac:dyDescent="0.25">
      <c r="A2" s="70" t="s">
        <v>42</v>
      </c>
      <c r="B2" s="71"/>
      <c r="C2" s="71"/>
      <c r="D2" s="71"/>
      <c r="E2" s="71"/>
      <c r="F2" s="71"/>
      <c r="G2" s="71"/>
      <c r="H2" s="71"/>
      <c r="I2" s="72"/>
      <c r="K2" s="43" t="s">
        <v>46</v>
      </c>
      <c r="L2" s="43"/>
      <c r="M2" s="43">
        <v>43666.666666666701</v>
      </c>
    </row>
    <row r="3" spans="1:13" x14ac:dyDescent="0.25">
      <c r="A3" s="70" t="s">
        <v>43</v>
      </c>
      <c r="B3" s="71"/>
      <c r="C3" s="71"/>
      <c r="D3" s="71"/>
      <c r="E3" s="71"/>
      <c r="F3" s="71"/>
      <c r="G3" s="71"/>
      <c r="H3" s="71"/>
      <c r="I3" s="72"/>
      <c r="K3" s="43" t="s">
        <v>38</v>
      </c>
      <c r="L3" s="43"/>
      <c r="M3" s="42">
        <v>-5.71265</v>
      </c>
    </row>
    <row r="4" spans="1:13" x14ac:dyDescent="0.25">
      <c r="A4" s="70" t="s">
        <v>39</v>
      </c>
      <c r="B4" s="71"/>
      <c r="C4" s="71"/>
      <c r="D4" s="71"/>
      <c r="E4" s="71"/>
      <c r="F4" s="71"/>
      <c r="G4" s="71"/>
      <c r="H4" s="71"/>
      <c r="I4" s="72"/>
    </row>
    <row r="5" spans="1:13" ht="123.75" x14ac:dyDescent="0.25">
      <c r="A5" s="35" t="s">
        <v>3</v>
      </c>
      <c r="B5" s="34" t="s">
        <v>32</v>
      </c>
      <c r="C5" s="34" t="s">
        <v>4</v>
      </c>
      <c r="D5" s="34" t="s">
        <v>11</v>
      </c>
      <c r="E5" s="34" t="s">
        <v>33</v>
      </c>
      <c r="F5" s="34" t="s">
        <v>5</v>
      </c>
      <c r="G5" s="34" t="s">
        <v>6</v>
      </c>
      <c r="H5" s="34" t="s">
        <v>7</v>
      </c>
      <c r="I5" s="36" t="s">
        <v>8</v>
      </c>
    </row>
    <row r="6" spans="1:13" x14ac:dyDescent="0.25">
      <c r="A6" s="37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23" t="s">
        <v>22</v>
      </c>
      <c r="G6" s="30" t="s">
        <v>53</v>
      </c>
      <c r="H6" s="23" t="s">
        <v>24</v>
      </c>
      <c r="I6" s="7" t="s">
        <v>25</v>
      </c>
    </row>
    <row r="7" spans="1:13" x14ac:dyDescent="0.25">
      <c r="A7" s="38">
        <v>1</v>
      </c>
      <c r="B7" s="44">
        <v>13</v>
      </c>
      <c r="C7" s="44">
        <v>-40.150787000000001</v>
      </c>
      <c r="D7" s="45" t="s">
        <v>31</v>
      </c>
      <c r="E7" s="45" t="s">
        <v>31</v>
      </c>
      <c r="F7" s="44">
        <f>$M$3-C7</f>
        <v>34.438136999999998</v>
      </c>
      <c r="G7" s="45" t="s">
        <v>31</v>
      </c>
      <c r="H7" s="45" t="s">
        <v>31</v>
      </c>
      <c r="I7" s="46" t="s">
        <v>31</v>
      </c>
      <c r="K7" s="27"/>
    </row>
    <row r="8" spans="1:13" x14ac:dyDescent="0.25">
      <c r="A8" s="38">
        <f>A7*2</f>
        <v>2</v>
      </c>
      <c r="B8" s="44">
        <v>6.5</v>
      </c>
      <c r="C8" s="44">
        <v>14.196161999999999</v>
      </c>
      <c r="D8" s="44">
        <f>F7/F8</f>
        <v>-1.7297936712647646</v>
      </c>
      <c r="E8" s="44">
        <f>(C9-C7)/(C9-C8)</f>
        <v>-1.6816037370203958</v>
      </c>
      <c r="F8" s="44">
        <f>$M$3-C8</f>
        <v>-19.908811999999998</v>
      </c>
      <c r="G8" s="44">
        <f>F7/15</f>
        <v>2.2958757999999997</v>
      </c>
      <c r="H8" s="44">
        <f>C8+G8</f>
        <v>16.492037799999999</v>
      </c>
      <c r="I8" s="47">
        <f>$M$3-H8</f>
        <v>-22.204687799999999</v>
      </c>
    </row>
    <row r="9" spans="1:13" x14ac:dyDescent="0.25">
      <c r="A9" s="38">
        <f t="shared" ref="A9:A30" si="0">A8*2</f>
        <v>4</v>
      </c>
      <c r="B9" s="44">
        <v>3.25</v>
      </c>
      <c r="C9" s="44">
        <v>-6.0704225999999997</v>
      </c>
      <c r="D9" s="44">
        <f t="shared" ref="D9:D30" si="1">F8/F9</f>
        <v>-55.646553145769175</v>
      </c>
      <c r="E9" s="44">
        <f t="shared" ref="E9:E30" si="2">(C10-C8)/(C10-C9)</f>
        <v>-58.411526254089111</v>
      </c>
      <c r="F9" s="44">
        <f t="shared" ref="F9:F30" si="3">$M$3-C9</f>
        <v>0.35777259999999966</v>
      </c>
      <c r="G9" s="44">
        <f t="shared" ref="G9:G30" si="4">F8/15</f>
        <v>-1.3272541333333332</v>
      </c>
      <c r="H9" s="44">
        <f t="shared" ref="H9:H30" si="5">C9+G9</f>
        <v>-7.3976767333333324</v>
      </c>
      <c r="I9" s="47">
        <f t="shared" ref="I9:I30" si="6">$M$3-H9</f>
        <v>1.6850267333333324</v>
      </c>
    </row>
    <row r="10" spans="1:13" x14ac:dyDescent="0.25">
      <c r="A10" s="38">
        <f t="shared" si="0"/>
        <v>8</v>
      </c>
      <c r="B10" s="44">
        <v>1.625</v>
      </c>
      <c r="C10" s="44">
        <v>-5.7293004999999999</v>
      </c>
      <c r="D10" s="44">
        <f t="shared" si="1"/>
        <v>21.487198582625254</v>
      </c>
      <c r="E10" s="44">
        <f t="shared" si="2"/>
        <v>22.761481292463426</v>
      </c>
      <c r="F10" s="44">
        <f t="shared" si="3"/>
        <v>1.6650499999999901E-2</v>
      </c>
      <c r="G10" s="44">
        <f t="shared" si="4"/>
        <v>2.3851506666666644E-2</v>
      </c>
      <c r="H10" s="44">
        <f t="shared" si="5"/>
        <v>-5.7054489933333334</v>
      </c>
      <c r="I10" s="47">
        <f t="shared" si="6"/>
        <v>-7.2010066666665651E-3</v>
      </c>
    </row>
    <row r="11" spans="1:13" x14ac:dyDescent="0.25">
      <c r="A11" s="38">
        <f t="shared" si="0"/>
        <v>16</v>
      </c>
      <c r="B11" s="44">
        <v>0.8125</v>
      </c>
      <c r="C11" s="44">
        <v>-5.7136250000000004</v>
      </c>
      <c r="D11" s="44">
        <f t="shared" si="1"/>
        <v>17.077435897428927</v>
      </c>
      <c r="E11" s="44">
        <f t="shared" si="2"/>
        <v>18.13918652961765</v>
      </c>
      <c r="F11" s="44">
        <f t="shared" si="3"/>
        <v>9.7500000000039222E-4</v>
      </c>
      <c r="G11" s="44">
        <f t="shared" si="4"/>
        <v>1.1100333333333267E-3</v>
      </c>
      <c r="H11" s="44">
        <f t="shared" si="5"/>
        <v>-5.7125149666666672</v>
      </c>
      <c r="I11" s="47">
        <f t="shared" si="6"/>
        <v>-1.3503333333275691E-4</v>
      </c>
    </row>
    <row r="12" spans="1:13" x14ac:dyDescent="0.25">
      <c r="A12" s="38">
        <f t="shared" si="0"/>
        <v>32</v>
      </c>
      <c r="B12" s="44">
        <v>0.40625</v>
      </c>
      <c r="C12" s="44">
        <v>-5.7127103999999997</v>
      </c>
      <c r="D12" s="44">
        <f t="shared" si="1"/>
        <v>16.142384106036662</v>
      </c>
      <c r="E12" s="44">
        <f t="shared" si="2"/>
        <v>17.390681003548572</v>
      </c>
      <c r="F12" s="44">
        <f t="shared" si="3"/>
        <v>6.0399999999738441E-5</v>
      </c>
      <c r="G12" s="44">
        <f t="shared" si="4"/>
        <v>6.5000000000026151E-5</v>
      </c>
      <c r="H12" s="44">
        <f t="shared" si="5"/>
        <v>-5.7126453999999995</v>
      </c>
      <c r="I12" s="47">
        <f t="shared" si="6"/>
        <v>-4.600000000465343E-6</v>
      </c>
    </row>
    <row r="13" spans="1:13" x14ac:dyDescent="0.25">
      <c r="A13" s="38">
        <f t="shared" si="0"/>
        <v>64</v>
      </c>
      <c r="B13" s="44">
        <v>0.203125</v>
      </c>
      <c r="C13" s="44">
        <v>-5.7126545999999996</v>
      </c>
      <c r="D13" s="44">
        <f t="shared" si="1"/>
        <v>13.130434783758794</v>
      </c>
      <c r="E13" s="44">
        <f t="shared" si="2"/>
        <v>11.528301887292033</v>
      </c>
      <c r="F13" s="44">
        <f t="shared" si="3"/>
        <v>4.5999999995771645E-6</v>
      </c>
      <c r="G13" s="44">
        <f t="shared" si="4"/>
        <v>4.0266666666492295E-6</v>
      </c>
      <c r="H13" s="44">
        <f t="shared" si="5"/>
        <v>-5.7126505733333328</v>
      </c>
      <c r="I13" s="47">
        <f t="shared" si="6"/>
        <v>5.7333333280951138E-7</v>
      </c>
    </row>
    <row r="14" spans="1:13" x14ac:dyDescent="0.25">
      <c r="A14" s="38">
        <f t="shared" si="0"/>
        <v>128</v>
      </c>
      <c r="B14" s="44">
        <v>0.1015625</v>
      </c>
      <c r="C14" s="44">
        <v>-5.7126492999999998</v>
      </c>
      <c r="D14" s="44">
        <f t="shared" si="1"/>
        <v>-6.5714285690721796</v>
      </c>
      <c r="E14" s="44">
        <f t="shared" si="2"/>
        <v>-0.82758620672757599</v>
      </c>
      <c r="F14" s="44">
        <f t="shared" si="3"/>
        <v>-7.0000000018666242E-7</v>
      </c>
      <c r="G14" s="44">
        <f t="shared" si="4"/>
        <v>3.0666666663847762E-7</v>
      </c>
      <c r="H14" s="44">
        <f t="shared" si="5"/>
        <v>-5.7126489933333335</v>
      </c>
      <c r="I14" s="47">
        <f t="shared" si="6"/>
        <v>-1.0066666664698687E-6</v>
      </c>
    </row>
    <row r="15" spans="1:13" x14ac:dyDescent="0.25">
      <c r="A15" s="38">
        <f t="shared" si="0"/>
        <v>256</v>
      </c>
      <c r="B15" s="44">
        <v>5.078125E-2</v>
      </c>
      <c r="C15" s="44">
        <v>-5.7126522</v>
      </c>
      <c r="D15" s="44">
        <f t="shared" si="1"/>
        <v>-0.31818181827357217</v>
      </c>
      <c r="E15" s="44">
        <f t="shared" si="2"/>
        <v>-1.0714285709754192</v>
      </c>
      <c r="F15" s="44">
        <f t="shared" si="3"/>
        <v>2.1999999999522402E-6</v>
      </c>
      <c r="G15" s="44">
        <f t="shared" si="4"/>
        <v>-4.6666666679110826E-8</v>
      </c>
      <c r="H15" s="44">
        <f t="shared" si="5"/>
        <v>-5.7126522466666669</v>
      </c>
      <c r="I15" s="47">
        <f t="shared" si="6"/>
        <v>2.2466666669274105E-6</v>
      </c>
    </row>
    <row r="16" spans="1:13" x14ac:dyDescent="0.25">
      <c r="A16" s="38">
        <f t="shared" si="0"/>
        <v>512</v>
      </c>
      <c r="B16" s="44">
        <v>2.5390630000000001E-2</v>
      </c>
      <c r="C16" s="44">
        <v>-5.7126507999999996</v>
      </c>
      <c r="D16" s="44">
        <f t="shared" si="1"/>
        <v>2.7500000013877788</v>
      </c>
      <c r="E16" s="44">
        <f t="shared" si="2"/>
        <v>1.3255813954641227</v>
      </c>
      <c r="F16" s="44">
        <f t="shared" si="3"/>
        <v>7.9999999957891532E-7</v>
      </c>
      <c r="G16" s="44">
        <f t="shared" si="4"/>
        <v>1.4666666666348269E-7</v>
      </c>
      <c r="H16" s="44">
        <f t="shared" si="5"/>
        <v>-5.7126506533333332</v>
      </c>
      <c r="I16" s="47">
        <f t="shared" si="6"/>
        <v>6.5333333321149212E-7</v>
      </c>
    </row>
    <row r="17" spans="1:9" x14ac:dyDescent="0.25">
      <c r="A17" s="38">
        <f t="shared" si="0"/>
        <v>1024</v>
      </c>
      <c r="B17" s="44">
        <v>1.269531E-2</v>
      </c>
      <c r="C17" s="44">
        <v>-5.7126465</v>
      </c>
      <c r="D17" s="44">
        <f t="shared" si="1"/>
        <v>-0.22857142844817116</v>
      </c>
      <c r="E17" s="44">
        <f t="shared" si="2"/>
        <v>5.2999999990230036</v>
      </c>
      <c r="F17" s="44">
        <f t="shared" si="3"/>
        <v>-3.5000000000451337E-6</v>
      </c>
      <c r="G17" s="44">
        <f t="shared" si="4"/>
        <v>5.3333333305261021E-8</v>
      </c>
      <c r="H17" s="44">
        <f t="shared" si="5"/>
        <v>-5.7126464466666667</v>
      </c>
      <c r="I17" s="47">
        <f t="shared" si="6"/>
        <v>-3.5533333333503947E-6</v>
      </c>
    </row>
    <row r="18" spans="1:9" x14ac:dyDescent="0.25">
      <c r="A18" s="38">
        <f t="shared" si="0"/>
        <v>2048</v>
      </c>
      <c r="B18" s="44">
        <v>6.3476599999999998E-3</v>
      </c>
      <c r="C18" s="44">
        <v>-5.7126454999999998</v>
      </c>
      <c r="D18" s="44">
        <f t="shared" si="1"/>
        <v>0.77777777775584744</v>
      </c>
      <c r="E18" s="44">
        <f t="shared" si="2"/>
        <v>1.232558139587723</v>
      </c>
      <c r="F18" s="44">
        <f t="shared" si="3"/>
        <v>-4.5000000001849116E-6</v>
      </c>
      <c r="G18" s="44">
        <f t="shared" si="4"/>
        <v>-2.3333333333634226E-7</v>
      </c>
      <c r="H18" s="44">
        <f t="shared" si="5"/>
        <v>-5.7126457333333329</v>
      </c>
      <c r="I18" s="47">
        <f t="shared" si="6"/>
        <v>-4.266666667085417E-6</v>
      </c>
    </row>
    <row r="19" spans="1:9" x14ac:dyDescent="0.25">
      <c r="A19" s="38">
        <f t="shared" si="0"/>
        <v>4096</v>
      </c>
      <c r="B19" s="44">
        <v>3.1738299999999999E-3</v>
      </c>
      <c r="C19" s="44">
        <v>-5.7126412000000002</v>
      </c>
      <c r="D19" s="44">
        <f t="shared" si="1"/>
        <v>0.51136363639575022</v>
      </c>
      <c r="E19" s="44">
        <f t="shared" si="2"/>
        <v>-3.2999999990230036</v>
      </c>
      <c r="F19" s="44">
        <f t="shared" si="3"/>
        <v>-8.7999999998089606E-6</v>
      </c>
      <c r="G19" s="44">
        <f t="shared" si="4"/>
        <v>-3.0000000001232744E-7</v>
      </c>
      <c r="H19" s="44">
        <f t="shared" si="5"/>
        <v>-5.7126415000000001</v>
      </c>
      <c r="I19" s="47">
        <f t="shared" si="6"/>
        <v>-8.4999999998558451E-6</v>
      </c>
    </row>
    <row r="20" spans="1:9" x14ac:dyDescent="0.25">
      <c r="A20" s="38">
        <f t="shared" si="0"/>
        <v>8192</v>
      </c>
      <c r="B20" s="44">
        <v>1.58691E-3</v>
      </c>
      <c r="C20" s="44">
        <v>-5.7126422000000003</v>
      </c>
      <c r="D20" s="44">
        <f t="shared" si="1"/>
        <v>1.128205128228486</v>
      </c>
      <c r="E20" s="44">
        <f t="shared" si="2"/>
        <v>1.0446428571495836</v>
      </c>
      <c r="F20" s="44">
        <f t="shared" si="3"/>
        <v>-7.7999999996691827E-6</v>
      </c>
      <c r="G20" s="44">
        <f t="shared" si="4"/>
        <v>-5.8666666665393074E-7</v>
      </c>
      <c r="H20" s="44">
        <f t="shared" si="5"/>
        <v>-5.7126427866666667</v>
      </c>
      <c r="I20" s="47">
        <f t="shared" si="6"/>
        <v>-7.2133333333113114E-6</v>
      </c>
    </row>
    <row r="21" spans="1:9" x14ac:dyDescent="0.25">
      <c r="A21" s="38">
        <f t="shared" si="0"/>
        <v>16384</v>
      </c>
      <c r="B21" s="44">
        <v>7.9345999999999996E-4</v>
      </c>
      <c r="C21" s="44">
        <v>-5.7126646000000001</v>
      </c>
      <c r="D21" s="44">
        <f t="shared" si="1"/>
        <v>-0.53424657531663211</v>
      </c>
      <c r="E21" s="44">
        <f t="shared" si="2"/>
        <v>0.34693877552235858</v>
      </c>
      <c r="F21" s="44">
        <f t="shared" si="3"/>
        <v>1.4600000000086766E-5</v>
      </c>
      <c r="G21" s="44">
        <f t="shared" si="4"/>
        <v>-5.1999999997794548E-7</v>
      </c>
      <c r="H21" s="44">
        <f t="shared" si="5"/>
        <v>-5.7126651200000005</v>
      </c>
      <c r="I21" s="47">
        <f t="shared" si="6"/>
        <v>1.5120000000479195E-5</v>
      </c>
    </row>
    <row r="22" spans="1:9" x14ac:dyDescent="0.25">
      <c r="A22" s="38">
        <f t="shared" si="0"/>
        <v>32768</v>
      </c>
      <c r="B22" s="44">
        <v>3.9672999999999998E-4</v>
      </c>
      <c r="C22" s="44">
        <v>-5.7126302999999998</v>
      </c>
      <c r="D22" s="44">
        <f t="shared" si="1"/>
        <v>-0.74111675126674692</v>
      </c>
      <c r="E22" s="44">
        <f t="shared" si="2"/>
        <v>7.4716981135458704</v>
      </c>
      <c r="F22" s="44">
        <f t="shared" si="3"/>
        <v>-1.9700000000177909E-5</v>
      </c>
      <c r="G22" s="44">
        <f t="shared" si="4"/>
        <v>9.7333333333911765E-7</v>
      </c>
      <c r="H22" s="44">
        <f t="shared" si="5"/>
        <v>-5.7126293266666668</v>
      </c>
      <c r="I22" s="47">
        <f t="shared" si="6"/>
        <v>-2.0673333333220967E-5</v>
      </c>
    </row>
    <row r="23" spans="1:9" x14ac:dyDescent="0.25">
      <c r="A23" s="38">
        <f t="shared" si="0"/>
        <v>65536</v>
      </c>
      <c r="B23" s="44">
        <v>1.9835999999999999E-4</v>
      </c>
      <c r="C23" s="44">
        <v>-5.7126250000000001</v>
      </c>
      <c r="D23" s="44">
        <f t="shared" si="1"/>
        <v>0.78800000000895287</v>
      </c>
      <c r="E23" s="44">
        <f t="shared" si="2"/>
        <v>0.86125654450754796</v>
      </c>
      <c r="F23" s="44">
        <f t="shared" si="3"/>
        <v>-2.4999999999941735E-5</v>
      </c>
      <c r="G23" s="44">
        <f t="shared" si="4"/>
        <v>-1.313333333345194E-6</v>
      </c>
      <c r="H23" s="44">
        <f t="shared" si="5"/>
        <v>-5.7126263133333337</v>
      </c>
      <c r="I23" s="47">
        <f t="shared" si="6"/>
        <v>-2.3686666666300482E-5</v>
      </c>
    </row>
    <row r="24" spans="1:9" x14ac:dyDescent="0.25">
      <c r="A24" s="38">
        <f t="shared" si="0"/>
        <v>131072</v>
      </c>
      <c r="B24" s="44">
        <v>9.9179999999999996E-5</v>
      </c>
      <c r="C24" s="44">
        <v>-5.7126631999999997</v>
      </c>
      <c r="D24" s="44">
        <f t="shared" si="1"/>
        <v>-1.8939393939760956</v>
      </c>
      <c r="E24" s="44">
        <f t="shared" si="2"/>
        <v>-0.45247148287471023</v>
      </c>
      <c r="F24" s="44">
        <f t="shared" si="3"/>
        <v>1.3199999999713441E-5</v>
      </c>
      <c r="G24" s="44">
        <f t="shared" si="4"/>
        <v>-1.6666666666627824E-6</v>
      </c>
      <c r="H24" s="44">
        <f t="shared" si="5"/>
        <v>-5.7126648666666666</v>
      </c>
      <c r="I24" s="47">
        <f t="shared" si="6"/>
        <v>1.4866666666613071E-5</v>
      </c>
    </row>
    <row r="25" spans="1:9" x14ac:dyDescent="0.25">
      <c r="A25" s="38">
        <f t="shared" si="0"/>
        <v>262144</v>
      </c>
      <c r="B25" s="44">
        <v>4.9589999999999998E-5</v>
      </c>
      <c r="C25" s="44">
        <v>-5.7126368999999997</v>
      </c>
      <c r="D25" s="44">
        <f t="shared" si="1"/>
        <v>-1.0076335877396794</v>
      </c>
      <c r="E25" s="44">
        <f t="shared" si="2"/>
        <v>0.63972602739892692</v>
      </c>
      <c r="F25" s="44">
        <f t="shared" si="3"/>
        <v>-1.3100000000321188E-5</v>
      </c>
      <c r="G25" s="44">
        <f t="shared" si="4"/>
        <v>8.7999999998089606E-7</v>
      </c>
      <c r="H25" s="44">
        <f t="shared" si="5"/>
        <v>-5.7126360199999997</v>
      </c>
      <c r="I25" s="47">
        <f t="shared" si="6"/>
        <v>-1.3980000000302084E-5</v>
      </c>
    </row>
    <row r="26" spans="1:9" x14ac:dyDescent="0.25">
      <c r="A26" s="38">
        <f t="shared" si="0"/>
        <v>524288</v>
      </c>
      <c r="B26" s="44">
        <v>2.48E-5</v>
      </c>
      <c r="C26" s="44">
        <v>-5.7127099000000001</v>
      </c>
      <c r="D26" s="44">
        <f t="shared" si="1"/>
        <v>-0.21869782972114446</v>
      </c>
      <c r="E26" s="44">
        <f t="shared" si="2"/>
        <v>0.59823885525293019</v>
      </c>
      <c r="F26" s="44">
        <f t="shared" si="3"/>
        <v>5.9900000000112641E-5</v>
      </c>
      <c r="G26" s="44">
        <f t="shared" si="4"/>
        <v>-8.7333333335474583E-7</v>
      </c>
      <c r="H26" s="44">
        <f t="shared" si="5"/>
        <v>-5.7127107733333338</v>
      </c>
      <c r="I26" s="47">
        <f t="shared" si="6"/>
        <v>6.0773333333763446E-5</v>
      </c>
    </row>
    <row r="27" spans="1:9" x14ac:dyDescent="0.25">
      <c r="A27" s="38">
        <f t="shared" si="0"/>
        <v>1048576</v>
      </c>
      <c r="B27" s="44">
        <v>1.24E-5</v>
      </c>
      <c r="C27" s="44">
        <v>-5.7125282000000004</v>
      </c>
      <c r="D27" s="44">
        <f t="shared" si="1"/>
        <v>-0.49178981937849886</v>
      </c>
      <c r="E27" s="44">
        <f t="shared" si="2"/>
        <v>0.85855519227795918</v>
      </c>
      <c r="F27" s="44">
        <f t="shared" si="3"/>
        <v>-1.2179999999961666E-4</v>
      </c>
      <c r="G27" s="44">
        <f t="shared" si="4"/>
        <v>3.9933333333408427E-6</v>
      </c>
      <c r="H27" s="44">
        <f t="shared" si="5"/>
        <v>-5.712524206666667</v>
      </c>
      <c r="I27" s="47">
        <f t="shared" si="6"/>
        <v>-1.257933333329575E-4</v>
      </c>
    </row>
    <row r="28" spans="1:9" x14ac:dyDescent="0.25">
      <c r="A28" s="38">
        <f t="shared" si="0"/>
        <v>2097152</v>
      </c>
      <c r="B28" s="44">
        <v>6.1999999999999999E-6</v>
      </c>
      <c r="C28" s="44">
        <v>-5.7138128000000004</v>
      </c>
      <c r="D28" s="44">
        <f t="shared" si="1"/>
        <v>-0.1047471620223424</v>
      </c>
      <c r="E28" s="44">
        <f t="shared" si="2"/>
        <v>0.51815453863476091</v>
      </c>
      <c r="F28" s="44">
        <f t="shared" si="3"/>
        <v>1.1628000000003524E-3</v>
      </c>
      <c r="G28" s="44">
        <f t="shared" si="4"/>
        <v>-8.1199999999744435E-6</v>
      </c>
      <c r="H28" s="44">
        <f t="shared" si="5"/>
        <v>-5.7138209200000007</v>
      </c>
      <c r="I28" s="47">
        <f t="shared" si="6"/>
        <v>1.1709200000007414E-3</v>
      </c>
    </row>
    <row r="29" spans="1:9" x14ac:dyDescent="0.25">
      <c r="A29" s="38">
        <f t="shared" si="0"/>
        <v>4194304</v>
      </c>
      <c r="B29" s="44">
        <v>3.1E-6</v>
      </c>
      <c r="C29" s="44">
        <v>-5.7111467999999999</v>
      </c>
      <c r="D29" s="44">
        <f t="shared" si="1"/>
        <v>-0.77354976051106794</v>
      </c>
      <c r="E29" s="44">
        <f t="shared" si="2"/>
        <v>0.60687743305407571</v>
      </c>
      <c r="F29" s="44">
        <f t="shared" si="3"/>
        <v>-1.5032000000001489E-3</v>
      </c>
      <c r="G29" s="44">
        <f t="shared" si="4"/>
        <v>7.752000000002349E-5</v>
      </c>
      <c r="H29" s="44">
        <f t="shared" si="5"/>
        <v>-5.7110692800000002</v>
      </c>
      <c r="I29" s="47">
        <f t="shared" si="6"/>
        <v>-1.5807199999997579E-3</v>
      </c>
    </row>
    <row r="30" spans="1:9" ht="15.75" thickBot="1" x14ac:dyDescent="0.3">
      <c r="A30" s="39">
        <f t="shared" si="0"/>
        <v>8388608</v>
      </c>
      <c r="B30" s="48">
        <v>1.55E-6</v>
      </c>
      <c r="C30" s="48">
        <v>-5.7179283999999999</v>
      </c>
      <c r="D30" s="48">
        <f t="shared" si="1"/>
        <v>-0.28478326765689904</v>
      </c>
      <c r="E30" s="48">
        <f t="shared" si="2"/>
        <v>0.99881397605468436</v>
      </c>
      <c r="F30" s="48">
        <f t="shared" si="3"/>
        <v>5.2783999999999054E-3</v>
      </c>
      <c r="G30" s="48">
        <f t="shared" si="4"/>
        <v>-1.0021333333334325E-4</v>
      </c>
      <c r="H30" s="48">
        <f t="shared" si="5"/>
        <v>-5.7180286133333329</v>
      </c>
      <c r="I30" s="49">
        <f t="shared" si="6"/>
        <v>5.3786133333328934E-3</v>
      </c>
    </row>
    <row r="31" spans="1:9" x14ac:dyDescent="0.25">
      <c r="A31" s="22"/>
      <c r="B31" s="24"/>
    </row>
    <row r="32" spans="1:9" x14ac:dyDescent="0.25">
      <c r="A32" s="22"/>
      <c r="B32" s="24"/>
    </row>
    <row r="33" spans="1:9" ht="15.75" thickBot="1" x14ac:dyDescent="0.3">
      <c r="A33" s="22"/>
      <c r="B33" s="24"/>
    </row>
    <row r="34" spans="1:9" x14ac:dyDescent="0.25">
      <c r="A34" s="73" t="s">
        <v>41</v>
      </c>
      <c r="B34" s="74"/>
      <c r="C34" s="74"/>
      <c r="D34" s="74"/>
      <c r="E34" s="74"/>
      <c r="F34" s="74"/>
      <c r="G34" s="74"/>
      <c r="H34" s="74"/>
      <c r="I34" s="75"/>
    </row>
    <row r="35" spans="1:9" x14ac:dyDescent="0.25">
      <c r="A35" s="70" t="s">
        <v>42</v>
      </c>
      <c r="B35" s="71"/>
      <c r="C35" s="71"/>
      <c r="D35" s="71"/>
      <c r="E35" s="71"/>
      <c r="F35" s="71"/>
      <c r="G35" s="71"/>
      <c r="H35" s="71"/>
      <c r="I35" s="72"/>
    </row>
    <row r="36" spans="1:9" x14ac:dyDescent="0.25">
      <c r="A36" s="70" t="s">
        <v>45</v>
      </c>
      <c r="B36" s="71"/>
      <c r="C36" s="71"/>
      <c r="D36" s="71"/>
      <c r="E36" s="71"/>
      <c r="F36" s="71"/>
      <c r="G36" s="71"/>
      <c r="H36" s="71"/>
      <c r="I36" s="72"/>
    </row>
    <row r="37" spans="1:9" x14ac:dyDescent="0.25">
      <c r="A37" s="70" t="s">
        <v>48</v>
      </c>
      <c r="B37" s="71"/>
      <c r="C37" s="71"/>
      <c r="D37" s="71"/>
      <c r="E37" s="71"/>
      <c r="F37" s="71"/>
      <c r="G37" s="71"/>
      <c r="H37" s="71"/>
      <c r="I37" s="72"/>
    </row>
    <row r="38" spans="1:9" ht="117" x14ac:dyDescent="0.25">
      <c r="A38" s="35" t="s">
        <v>3</v>
      </c>
      <c r="B38" s="34" t="s">
        <v>32</v>
      </c>
      <c r="C38" s="34" t="s">
        <v>4</v>
      </c>
      <c r="D38" s="34" t="s">
        <v>11</v>
      </c>
      <c r="E38" s="34" t="s">
        <v>33</v>
      </c>
      <c r="F38" s="34" t="s">
        <v>5</v>
      </c>
      <c r="G38" s="34" t="s">
        <v>6</v>
      </c>
      <c r="H38" s="34" t="s">
        <v>7</v>
      </c>
      <c r="I38" s="36" t="s">
        <v>8</v>
      </c>
    </row>
    <row r="39" spans="1:9" x14ac:dyDescent="0.25">
      <c r="A39" s="37" t="s">
        <v>9</v>
      </c>
      <c r="B39" s="6" t="s">
        <v>34</v>
      </c>
      <c r="C39" s="6" t="s">
        <v>20</v>
      </c>
      <c r="D39" s="6" t="s">
        <v>21</v>
      </c>
      <c r="E39" s="6" t="s">
        <v>35</v>
      </c>
      <c r="F39" s="23" t="s">
        <v>22</v>
      </c>
      <c r="G39" s="30" t="s">
        <v>53</v>
      </c>
      <c r="H39" s="23" t="s">
        <v>24</v>
      </c>
      <c r="I39" s="7" t="s">
        <v>25</v>
      </c>
    </row>
    <row r="40" spans="1:9" x14ac:dyDescent="0.25">
      <c r="A40" s="38">
        <v>1</v>
      </c>
      <c r="B40" s="44">
        <v>8</v>
      </c>
      <c r="C40" s="44">
        <v>94184</v>
      </c>
      <c r="D40" s="45" t="s">
        <v>31</v>
      </c>
      <c r="E40" s="45" t="s">
        <v>31</v>
      </c>
      <c r="F40" s="44">
        <f>$M$2-C40</f>
        <v>-50517.333333333299</v>
      </c>
      <c r="G40" s="45" t="s">
        <v>31</v>
      </c>
      <c r="H40" s="45" t="s">
        <v>31</v>
      </c>
      <c r="I40" s="46" t="s">
        <v>31</v>
      </c>
    </row>
    <row r="41" spans="1:9" x14ac:dyDescent="0.25">
      <c r="A41" s="38">
        <f>A40*2</f>
        <v>2</v>
      </c>
      <c r="B41" s="44">
        <v>4</v>
      </c>
      <c r="C41" s="44">
        <v>51944</v>
      </c>
      <c r="D41" s="44">
        <f>F40/F41</f>
        <v>6.1030927835051756</v>
      </c>
      <c r="E41" s="44">
        <f>(C42-C40)/(C42-C41)</f>
        <v>6.5</v>
      </c>
      <c r="F41" s="44">
        <f>$M$2-C41</f>
        <v>-8277.3333333332994</v>
      </c>
      <c r="G41" s="44">
        <f>F40/15</f>
        <v>-3367.8222222222198</v>
      </c>
      <c r="H41" s="44">
        <f>C41+G41</f>
        <v>48576.177777777782</v>
      </c>
      <c r="I41" s="47">
        <f>$M$2-H41</f>
        <v>-4909.5111111110818</v>
      </c>
    </row>
    <row r="42" spans="1:9" x14ac:dyDescent="0.25">
      <c r="A42" s="38">
        <f t="shared" ref="A42:A63" si="7">A41*2</f>
        <v>4</v>
      </c>
      <c r="B42" s="44">
        <v>2</v>
      </c>
      <c r="C42" s="44">
        <v>44264</v>
      </c>
      <c r="D42" s="44">
        <f t="shared" ref="D42:D63" si="8">F41/F42</f>
        <v>13.857142857143588</v>
      </c>
      <c r="E42" s="44">
        <f t="shared" ref="E42:E63" si="9">(C43-C41)/(C43-C42)</f>
        <v>14.74496644295302</v>
      </c>
      <c r="F42" s="44">
        <f t="shared" ref="F42:F63" si="10">$M$2-C42</f>
        <v>-597.33333333329938</v>
      </c>
      <c r="G42" s="44">
        <f t="shared" ref="G42:G63" si="11">F41/15</f>
        <v>-551.82222222221992</v>
      </c>
      <c r="H42" s="44">
        <f t="shared" ref="H42:H63" si="12">C42+G42</f>
        <v>43712.177777777782</v>
      </c>
      <c r="I42" s="47">
        <f t="shared" ref="I42:I63" si="13">$M$2-H42</f>
        <v>-45.511111111081846</v>
      </c>
    </row>
    <row r="43" spans="1:9" x14ac:dyDescent="0.25">
      <c r="A43" s="38">
        <f t="shared" si="7"/>
        <v>8</v>
      </c>
      <c r="B43" s="44">
        <v>1</v>
      </c>
      <c r="C43" s="44">
        <v>43705.25</v>
      </c>
      <c r="D43" s="44">
        <f t="shared" si="8"/>
        <v>15.481641468695249</v>
      </c>
      <c r="E43" s="44">
        <f t="shared" si="9"/>
        <v>16.455576454967115</v>
      </c>
      <c r="F43" s="44">
        <f t="shared" si="10"/>
        <v>-38.583333333299379</v>
      </c>
      <c r="G43" s="44">
        <f t="shared" si="11"/>
        <v>-39.822222222219956</v>
      </c>
      <c r="H43" s="44">
        <f t="shared" si="12"/>
        <v>43665.427777777782</v>
      </c>
      <c r="I43" s="47">
        <f t="shared" si="13"/>
        <v>1.2388888889181544</v>
      </c>
    </row>
    <row r="44" spans="1:9" x14ac:dyDescent="0.25">
      <c r="A44" s="38">
        <f t="shared" si="7"/>
        <v>16</v>
      </c>
      <c r="B44" s="44">
        <v>0.5</v>
      </c>
      <c r="C44" s="44">
        <v>43669.097999999998</v>
      </c>
      <c r="D44" s="44">
        <f t="shared" si="8"/>
        <v>15.869207568083809</v>
      </c>
      <c r="E44" s="44">
        <f t="shared" si="9"/>
        <v>16.842243645930697</v>
      </c>
      <c r="F44" s="44">
        <f t="shared" si="10"/>
        <v>-2.4313333332975162</v>
      </c>
      <c r="G44" s="44">
        <f t="shared" si="11"/>
        <v>-2.5722222222199584</v>
      </c>
      <c r="H44" s="44">
        <f t="shared" si="12"/>
        <v>43666.525777777781</v>
      </c>
      <c r="I44" s="47">
        <f t="shared" si="13"/>
        <v>0.14088888892001705</v>
      </c>
    </row>
    <row r="45" spans="1:9" x14ac:dyDescent="0.25">
      <c r="A45" s="38">
        <f t="shared" si="7"/>
        <v>32</v>
      </c>
      <c r="B45" s="44">
        <v>0.25</v>
      </c>
      <c r="C45" s="44">
        <v>43666.815999999999</v>
      </c>
      <c r="D45" s="44">
        <f t="shared" si="8"/>
        <v>16.28125000358266</v>
      </c>
      <c r="E45" s="44">
        <f t="shared" si="9"/>
        <v>17.300000000062365</v>
      </c>
      <c r="F45" s="44">
        <f t="shared" si="10"/>
        <v>-0.14933333329827292</v>
      </c>
      <c r="G45" s="44">
        <f t="shared" si="11"/>
        <v>-0.16208888888650108</v>
      </c>
      <c r="H45" s="44">
        <f t="shared" si="12"/>
        <v>43666.653911111112</v>
      </c>
      <c r="I45" s="47">
        <f t="shared" si="13"/>
        <v>1.2755555588228162E-2</v>
      </c>
    </row>
    <row r="46" spans="1:9" x14ac:dyDescent="0.25">
      <c r="A46" s="38">
        <f t="shared" si="7"/>
        <v>64</v>
      </c>
      <c r="B46" s="44">
        <v>0.125</v>
      </c>
      <c r="C46" s="44">
        <v>43666.675999999999</v>
      </c>
      <c r="D46" s="44">
        <f t="shared" si="8"/>
        <v>16.000000055349251</v>
      </c>
      <c r="E46" s="44">
        <f t="shared" si="9"/>
        <v>12.666666664241347</v>
      </c>
      <c r="F46" s="44">
        <f t="shared" si="10"/>
        <v>-9.3333332988549955E-3</v>
      </c>
      <c r="G46" s="44">
        <f t="shared" si="11"/>
        <v>-9.9555555532181948E-3</v>
      </c>
      <c r="H46" s="44">
        <f t="shared" si="12"/>
        <v>43666.66604444445</v>
      </c>
      <c r="I46" s="47">
        <f t="shared" si="13"/>
        <v>6.2222225096775219E-4</v>
      </c>
    </row>
    <row r="47" spans="1:9" x14ac:dyDescent="0.25">
      <c r="A47" s="38">
        <f t="shared" si="7"/>
        <v>128</v>
      </c>
      <c r="B47" s="44">
        <v>6.25E-2</v>
      </c>
      <c r="C47" s="44">
        <v>43666.663999999997</v>
      </c>
      <c r="D47" s="44">
        <f t="shared" si="8"/>
        <v>-3.4999999386091085</v>
      </c>
      <c r="E47" s="44">
        <f t="shared" si="9"/>
        <v>-0.5</v>
      </c>
      <c r="F47" s="44">
        <f t="shared" si="10"/>
        <v>2.6666667035897262E-3</v>
      </c>
      <c r="G47" s="44">
        <f t="shared" si="11"/>
        <v>-6.2222221992366638E-4</v>
      </c>
      <c r="H47" s="44">
        <f t="shared" si="12"/>
        <v>43666.663377777775</v>
      </c>
      <c r="I47" s="47">
        <f t="shared" si="13"/>
        <v>3.288888925453648E-3</v>
      </c>
    </row>
    <row r="48" spans="1:9" x14ac:dyDescent="0.25">
      <c r="A48" s="38">
        <f t="shared" si="7"/>
        <v>256</v>
      </c>
      <c r="B48" s="44">
        <v>3.125E-2</v>
      </c>
      <c r="C48" s="44">
        <v>43666.671999999999</v>
      </c>
      <c r="D48" s="44">
        <f t="shared" si="8"/>
        <v>-0.50000001023181551</v>
      </c>
      <c r="E48" s="44">
        <f t="shared" si="9"/>
        <v>0</v>
      </c>
      <c r="F48" s="44">
        <f t="shared" si="10"/>
        <v>-5.3333332980400883E-3</v>
      </c>
      <c r="G48" s="44">
        <f t="shared" si="11"/>
        <v>1.7777778023931508E-4</v>
      </c>
      <c r="H48" s="44">
        <f t="shared" si="12"/>
        <v>43666.672177777778</v>
      </c>
      <c r="I48" s="47">
        <f t="shared" si="13"/>
        <v>-5.5111110777943395E-3</v>
      </c>
    </row>
    <row r="49" spans="1:9" x14ac:dyDescent="0.25">
      <c r="A49" s="38">
        <f t="shared" si="7"/>
        <v>512</v>
      </c>
      <c r="B49" s="44">
        <v>1.5625E-2</v>
      </c>
      <c r="C49" s="44">
        <v>43666.663999999997</v>
      </c>
      <c r="D49" s="44">
        <f t="shared" si="8"/>
        <v>-1.9999999590727391</v>
      </c>
      <c r="E49" s="44">
        <f t="shared" si="9"/>
        <v>3.0000000036379788</v>
      </c>
      <c r="F49" s="44">
        <f t="shared" si="10"/>
        <v>2.6666667035897262E-3</v>
      </c>
      <c r="G49" s="44">
        <f t="shared" si="11"/>
        <v>-3.5555555320267255E-4</v>
      </c>
      <c r="H49" s="44">
        <f t="shared" si="12"/>
        <v>43666.663644444445</v>
      </c>
      <c r="I49" s="47">
        <f t="shared" si="13"/>
        <v>3.0222222558222711E-3</v>
      </c>
    </row>
    <row r="50" spans="1:9" x14ac:dyDescent="0.25">
      <c r="A50" s="38">
        <f t="shared" si="7"/>
        <v>1024</v>
      </c>
      <c r="B50" s="44">
        <v>7.8125E-3</v>
      </c>
      <c r="C50" s="44">
        <v>43666.66</v>
      </c>
      <c r="D50" s="44">
        <f t="shared" si="8"/>
        <v>0.40000000371073835</v>
      </c>
      <c r="E50" s="44">
        <f t="shared" si="9"/>
        <v>0.75000000034106051</v>
      </c>
      <c r="F50" s="44">
        <f t="shared" si="10"/>
        <v>6.6666666971286759E-3</v>
      </c>
      <c r="G50" s="44">
        <f t="shared" si="11"/>
        <v>1.7777778023931508E-4</v>
      </c>
      <c r="H50" s="44">
        <f t="shared" si="12"/>
        <v>43666.660177777783</v>
      </c>
      <c r="I50" s="47">
        <f t="shared" si="13"/>
        <v>6.4888889173744246E-3</v>
      </c>
    </row>
    <row r="51" spans="1:9" x14ac:dyDescent="0.25">
      <c r="A51" s="38">
        <f t="shared" si="7"/>
        <v>2048</v>
      </c>
      <c r="B51" s="44">
        <v>3.90625E-3</v>
      </c>
      <c r="C51" s="44">
        <v>43666.675999999999</v>
      </c>
      <c r="D51" s="44">
        <f t="shared" si="8"/>
        <v>-0.71428572018814929</v>
      </c>
      <c r="E51" s="44">
        <f t="shared" si="9"/>
        <v>-0.33333333272700355</v>
      </c>
      <c r="F51" s="44">
        <f t="shared" si="10"/>
        <v>-9.3333332988549955E-3</v>
      </c>
      <c r="G51" s="44">
        <f t="shared" si="11"/>
        <v>4.4444444647524507E-4</v>
      </c>
      <c r="H51" s="44">
        <f t="shared" si="12"/>
        <v>43666.676444444449</v>
      </c>
      <c r="I51" s="47">
        <f t="shared" si="13"/>
        <v>-9.7777777482406236E-3</v>
      </c>
    </row>
    <row r="52" spans="1:9" x14ac:dyDescent="0.25">
      <c r="A52" s="38">
        <f t="shared" si="7"/>
        <v>4096</v>
      </c>
      <c r="B52" s="44">
        <v>1.953125E-3</v>
      </c>
      <c r="C52" s="44">
        <v>43666.663999999997</v>
      </c>
      <c r="D52" s="44">
        <f t="shared" si="8"/>
        <v>-3.4999999386091085</v>
      </c>
      <c r="E52" s="44">
        <f t="shared" si="9"/>
        <v>2.0000000006063297</v>
      </c>
      <c r="F52" s="44">
        <f t="shared" si="10"/>
        <v>2.6666667035897262E-3</v>
      </c>
      <c r="G52" s="44">
        <f t="shared" si="11"/>
        <v>-6.2222221992366638E-4</v>
      </c>
      <c r="H52" s="44">
        <f t="shared" si="12"/>
        <v>43666.663377777775</v>
      </c>
      <c r="I52" s="47">
        <f t="shared" si="13"/>
        <v>3.288888925453648E-3</v>
      </c>
    </row>
    <row r="53" spans="1:9" x14ac:dyDescent="0.25">
      <c r="A53" s="38">
        <f t="shared" si="7"/>
        <v>8192</v>
      </c>
      <c r="B53" s="44">
        <v>9.765625E-4</v>
      </c>
      <c r="C53" s="44">
        <v>43666.652000000002</v>
      </c>
      <c r="D53" s="44">
        <f t="shared" si="8"/>
        <v>0.18181818393783061</v>
      </c>
      <c r="E53" s="44">
        <f t="shared" si="9"/>
        <v>0.84615384621842571</v>
      </c>
      <c r="F53" s="44">
        <f t="shared" si="10"/>
        <v>1.466666669875849E-2</v>
      </c>
      <c r="G53" s="44">
        <f t="shared" si="11"/>
        <v>1.7777778023931508E-4</v>
      </c>
      <c r="H53" s="44">
        <f t="shared" si="12"/>
        <v>43666.652177777782</v>
      </c>
      <c r="I53" s="47">
        <f t="shared" si="13"/>
        <v>1.4488888919004239E-2</v>
      </c>
    </row>
    <row r="54" spans="1:9" x14ac:dyDescent="0.25">
      <c r="A54" s="38">
        <f t="shared" si="7"/>
        <v>16384</v>
      </c>
      <c r="B54" s="44">
        <v>4.8828125E-4</v>
      </c>
      <c r="C54" s="44">
        <v>43666.73</v>
      </c>
      <c r="D54" s="44">
        <f t="shared" si="8"/>
        <v>-0.23157894798758288</v>
      </c>
      <c r="E54" s="44">
        <f t="shared" si="9"/>
        <v>-3.1052631579148917</v>
      </c>
      <c r="F54" s="44">
        <f t="shared" si="10"/>
        <v>-6.3333333302580286E-2</v>
      </c>
      <c r="G54" s="44">
        <f t="shared" si="11"/>
        <v>9.7777777991723278E-4</v>
      </c>
      <c r="H54" s="44">
        <f t="shared" si="12"/>
        <v>43666.730977777785</v>
      </c>
      <c r="I54" s="47">
        <f t="shared" si="13"/>
        <v>-6.431111108395271E-2</v>
      </c>
    </row>
    <row r="55" spans="1:9" x14ac:dyDescent="0.25">
      <c r="A55" s="38">
        <f t="shared" si="7"/>
        <v>32768</v>
      </c>
      <c r="B55" s="44">
        <v>2.4414062999999998E-4</v>
      </c>
      <c r="C55" s="44">
        <v>43666.711000000003</v>
      </c>
      <c r="D55" s="44">
        <f t="shared" si="8"/>
        <v>1.4285714288762217</v>
      </c>
      <c r="E55" s="44">
        <f t="shared" si="9"/>
        <v>1.2317073170699244</v>
      </c>
      <c r="F55" s="44">
        <f t="shared" si="10"/>
        <v>-4.4333333302347455E-2</v>
      </c>
      <c r="G55" s="44">
        <f t="shared" si="11"/>
        <v>-4.2222222201720189E-3</v>
      </c>
      <c r="H55" s="44">
        <f t="shared" si="12"/>
        <v>43666.706777777785</v>
      </c>
      <c r="I55" s="47">
        <f t="shared" si="13"/>
        <v>-4.0111111084115691E-2</v>
      </c>
    </row>
    <row r="56" spans="1:9" x14ac:dyDescent="0.25">
      <c r="A56" s="38">
        <f t="shared" si="7"/>
        <v>65536</v>
      </c>
      <c r="B56" s="44">
        <v>1.2207031E-4</v>
      </c>
      <c r="C56" s="44">
        <v>43666.629000000001</v>
      </c>
      <c r="D56" s="44">
        <f t="shared" si="8"/>
        <v>-1.1769911485843136</v>
      </c>
      <c r="E56" s="44">
        <f t="shared" si="9"/>
        <v>-1.3428571431719394</v>
      </c>
      <c r="F56" s="44">
        <f t="shared" si="10"/>
        <v>3.7666666699806228E-2</v>
      </c>
      <c r="G56" s="44">
        <f t="shared" si="11"/>
        <v>-2.9555555534898303E-3</v>
      </c>
      <c r="H56" s="44">
        <f t="shared" si="12"/>
        <v>43666.626044444449</v>
      </c>
      <c r="I56" s="47">
        <f t="shared" si="13"/>
        <v>4.0622222251840867E-2</v>
      </c>
    </row>
    <row r="57" spans="1:9" x14ac:dyDescent="0.25">
      <c r="A57" s="38">
        <f t="shared" si="7"/>
        <v>131072</v>
      </c>
      <c r="B57" s="44">
        <v>6.1035156000000001E-5</v>
      </c>
      <c r="C57" s="44">
        <v>43666.663999999997</v>
      </c>
      <c r="D57" s="44">
        <f t="shared" si="8"/>
        <v>14.124999816850506</v>
      </c>
      <c r="E57" s="44">
        <f t="shared" si="9"/>
        <v>2.2962962960667395</v>
      </c>
      <c r="F57" s="44">
        <f t="shared" si="10"/>
        <v>2.6666667035897262E-3</v>
      </c>
      <c r="G57" s="44">
        <f t="shared" si="11"/>
        <v>2.511111113320415E-3</v>
      </c>
      <c r="H57" s="44">
        <f t="shared" si="12"/>
        <v>43666.666511111107</v>
      </c>
      <c r="I57" s="47">
        <f t="shared" si="13"/>
        <v>1.5555559366475791E-4</v>
      </c>
    </row>
    <row r="58" spans="1:9" x14ac:dyDescent="0.25">
      <c r="A58" s="38">
        <f t="shared" si="7"/>
        <v>262144</v>
      </c>
      <c r="B58" s="44">
        <v>3.0517578E-5</v>
      </c>
      <c r="C58" s="44">
        <v>43666.690999999999</v>
      </c>
      <c r="D58" s="44">
        <f t="shared" si="8"/>
        <v>-0.10958904277117658</v>
      </c>
      <c r="E58" s="44">
        <f t="shared" si="9"/>
        <v>-0.17391304350576922</v>
      </c>
      <c r="F58" s="44">
        <f t="shared" si="10"/>
        <v>-2.4333333298272919E-2</v>
      </c>
      <c r="G58" s="44">
        <f t="shared" si="11"/>
        <v>1.7777778023931508E-4</v>
      </c>
      <c r="H58" s="44">
        <f t="shared" si="12"/>
        <v>43666.691177777779</v>
      </c>
      <c r="I58" s="47">
        <f t="shared" si="13"/>
        <v>-2.451111107802717E-2</v>
      </c>
    </row>
    <row r="59" spans="1:9" x14ac:dyDescent="0.25">
      <c r="A59" s="38">
        <f t="shared" si="7"/>
        <v>524288</v>
      </c>
      <c r="B59" s="44">
        <v>1.5258789E-5</v>
      </c>
      <c r="C59" s="44">
        <v>43666.667999999998</v>
      </c>
      <c r="D59" s="44">
        <f t="shared" si="8"/>
        <v>18.250000467935038</v>
      </c>
      <c r="E59" s="44">
        <f t="shared" si="9"/>
        <v>1.4893617021638912</v>
      </c>
      <c r="F59" s="44">
        <f t="shared" si="10"/>
        <v>-1.333333297225181E-3</v>
      </c>
      <c r="G59" s="44">
        <f t="shared" si="11"/>
        <v>-1.6222222198848612E-3</v>
      </c>
      <c r="H59" s="44">
        <f t="shared" si="12"/>
        <v>43666.666377777779</v>
      </c>
      <c r="I59" s="47">
        <f t="shared" si="13"/>
        <v>2.8888892120448872E-4</v>
      </c>
    </row>
    <row r="60" spans="1:9" x14ac:dyDescent="0.25">
      <c r="A60" s="38">
        <f t="shared" si="7"/>
        <v>1048576</v>
      </c>
      <c r="B60" s="44">
        <v>7.6293945000000001E-6</v>
      </c>
      <c r="C60" s="44">
        <v>43666.620999999999</v>
      </c>
      <c r="D60" s="44">
        <f t="shared" si="8"/>
        <v>-2.9197079479051462E-2</v>
      </c>
      <c r="E60" s="44">
        <f t="shared" si="9"/>
        <v>0.87193460490771135</v>
      </c>
      <c r="F60" s="44">
        <f t="shared" si="10"/>
        <v>4.5666666701436043E-2</v>
      </c>
      <c r="G60" s="44">
        <f t="shared" si="11"/>
        <v>-8.8888886481678733E-5</v>
      </c>
      <c r="H60" s="44">
        <f t="shared" si="12"/>
        <v>43666.620911111109</v>
      </c>
      <c r="I60" s="47">
        <f t="shared" si="13"/>
        <v>4.5755555591313168E-2</v>
      </c>
    </row>
    <row r="61" spans="1:9" x14ac:dyDescent="0.25">
      <c r="A61" s="38">
        <f t="shared" si="7"/>
        <v>2097152</v>
      </c>
      <c r="B61" s="44">
        <v>3.8146973E-6</v>
      </c>
      <c r="C61" s="44">
        <v>43666.987999999998</v>
      </c>
      <c r="D61" s="44">
        <f t="shared" si="8"/>
        <v>-0.14211618269691584</v>
      </c>
      <c r="E61" s="44">
        <f t="shared" si="9"/>
        <v>0.52767052766933453</v>
      </c>
      <c r="F61" s="44">
        <f t="shared" si="10"/>
        <v>-0.32133333329693414</v>
      </c>
      <c r="G61" s="44">
        <f t="shared" si="11"/>
        <v>3.044444446762403E-3</v>
      </c>
      <c r="H61" s="44">
        <f t="shared" si="12"/>
        <v>43666.991044444447</v>
      </c>
      <c r="I61" s="47">
        <f t="shared" si="13"/>
        <v>-0.32437777774612186</v>
      </c>
    </row>
    <row r="62" spans="1:9" x14ac:dyDescent="0.25">
      <c r="A62" s="38">
        <f t="shared" si="7"/>
        <v>4194304</v>
      </c>
      <c r="B62" s="44">
        <v>1.9073486E-6</v>
      </c>
      <c r="C62" s="44">
        <v>43666.211000000003</v>
      </c>
      <c r="D62" s="44">
        <f t="shared" si="8"/>
        <v>-0.70519385502944354</v>
      </c>
      <c r="E62" s="44">
        <f t="shared" si="9"/>
        <v>1.1487650775404521</v>
      </c>
      <c r="F62" s="44">
        <f t="shared" si="10"/>
        <v>0.45566666669765254</v>
      </c>
      <c r="G62" s="44">
        <f t="shared" si="11"/>
        <v>-2.142222221979561E-2</v>
      </c>
      <c r="H62" s="44">
        <f t="shared" si="12"/>
        <v>43666.189577777783</v>
      </c>
      <c r="I62" s="47">
        <f t="shared" si="13"/>
        <v>0.47708888891793322</v>
      </c>
    </row>
    <row r="63" spans="1:9" ht="15.75" thickBot="1" x14ac:dyDescent="0.3">
      <c r="A63" s="39">
        <f t="shared" si="7"/>
        <v>8388608</v>
      </c>
      <c r="B63" s="48">
        <v>9.536743200000001E-7</v>
      </c>
      <c r="C63" s="48">
        <v>43660.987999999998</v>
      </c>
      <c r="D63" s="48">
        <f t="shared" si="8"/>
        <v>8.0241840812643545E-2</v>
      </c>
      <c r="E63" s="48">
        <f t="shared" si="9"/>
        <v>1.0001196262439138</v>
      </c>
      <c r="F63" s="48">
        <f t="shared" si="10"/>
        <v>5.6786666667030659</v>
      </c>
      <c r="G63" s="48">
        <f t="shared" si="11"/>
        <v>3.0377777779843504E-2</v>
      </c>
      <c r="H63" s="48">
        <f t="shared" si="12"/>
        <v>43661.018377777778</v>
      </c>
      <c r="I63" s="49">
        <f t="shared" si="13"/>
        <v>5.6482888889222522</v>
      </c>
    </row>
  </sheetData>
  <mergeCells count="8">
    <mergeCell ref="A36:I36"/>
    <mergeCell ref="A37:I37"/>
    <mergeCell ref="A1:I1"/>
    <mergeCell ref="A2:I2"/>
    <mergeCell ref="A3:I3"/>
    <mergeCell ref="A4:I4"/>
    <mergeCell ref="A34:I34"/>
    <mergeCell ref="A35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42C-5635-42F9-BAC4-B961BB7E4C86}">
  <dimension ref="A1:M63"/>
  <sheetViews>
    <sheetView zoomScaleNormal="100" workbookViewId="0">
      <selection activeCell="G6" sqref="G6"/>
    </sheetView>
  </sheetViews>
  <sheetFormatPr defaultRowHeight="15" x14ac:dyDescent="0.25"/>
  <cols>
    <col min="1" max="1" width="8.5703125" bestFit="1" customWidth="1"/>
    <col min="2" max="9" width="15.7109375" customWidth="1"/>
    <col min="13" max="13" width="11.7109375" bestFit="1" customWidth="1"/>
  </cols>
  <sheetData>
    <row r="1" spans="1:13" x14ac:dyDescent="0.25">
      <c r="A1" s="73" t="s">
        <v>47</v>
      </c>
      <c r="B1" s="74"/>
      <c r="C1" s="74"/>
      <c r="D1" s="74"/>
      <c r="E1" s="74"/>
      <c r="F1" s="74"/>
      <c r="G1" s="74"/>
      <c r="H1" s="74"/>
      <c r="I1" s="75"/>
    </row>
    <row r="2" spans="1:13" x14ac:dyDescent="0.25">
      <c r="A2" s="70" t="s">
        <v>42</v>
      </c>
      <c r="B2" s="71"/>
      <c r="C2" s="71"/>
      <c r="D2" s="71"/>
      <c r="E2" s="71"/>
      <c r="F2" s="71"/>
      <c r="G2" s="71"/>
      <c r="H2" s="71"/>
      <c r="I2" s="72"/>
      <c r="K2" t="s">
        <v>46</v>
      </c>
      <c r="M2">
        <v>43666.666666666701</v>
      </c>
    </row>
    <row r="3" spans="1:13" x14ac:dyDescent="0.25">
      <c r="A3" s="70" t="s">
        <v>43</v>
      </c>
      <c r="B3" s="71"/>
      <c r="C3" s="71"/>
      <c r="D3" s="71"/>
      <c r="E3" s="71"/>
      <c r="F3" s="71"/>
      <c r="G3" s="71"/>
      <c r="H3" s="71"/>
      <c r="I3" s="72"/>
      <c r="K3" t="s">
        <v>38</v>
      </c>
      <c r="M3" s="42">
        <v>-5.71265</v>
      </c>
    </row>
    <row r="4" spans="1:13" x14ac:dyDescent="0.25">
      <c r="A4" s="70" t="s">
        <v>39</v>
      </c>
      <c r="B4" s="71"/>
      <c r="C4" s="71"/>
      <c r="D4" s="71"/>
      <c r="E4" s="71"/>
      <c r="F4" s="71"/>
      <c r="G4" s="71"/>
      <c r="H4" s="71"/>
      <c r="I4" s="72"/>
    </row>
    <row r="5" spans="1:13" ht="93" x14ac:dyDescent="0.25">
      <c r="A5" s="35" t="s">
        <v>3</v>
      </c>
      <c r="B5" s="34" t="s">
        <v>32</v>
      </c>
      <c r="C5" s="34" t="s">
        <v>4</v>
      </c>
      <c r="D5" s="34" t="s">
        <v>11</v>
      </c>
      <c r="E5" s="34" t="s">
        <v>33</v>
      </c>
      <c r="F5" s="34" t="s">
        <v>5</v>
      </c>
      <c r="G5" s="34" t="s">
        <v>6</v>
      </c>
      <c r="H5" s="34" t="s">
        <v>7</v>
      </c>
      <c r="I5" s="36" t="s">
        <v>8</v>
      </c>
    </row>
    <row r="6" spans="1:13" x14ac:dyDescent="0.25">
      <c r="A6" s="37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23" t="s">
        <v>22</v>
      </c>
      <c r="G6" s="30" t="s">
        <v>53</v>
      </c>
      <c r="H6" s="23" t="s">
        <v>24</v>
      </c>
      <c r="I6" s="7" t="s">
        <v>25</v>
      </c>
    </row>
    <row r="7" spans="1:13" x14ac:dyDescent="0.25">
      <c r="A7" s="38">
        <v>1</v>
      </c>
      <c r="B7" s="44">
        <v>13</v>
      </c>
      <c r="C7" s="44">
        <v>15.259475999999999</v>
      </c>
      <c r="D7" s="45" t="s">
        <v>31</v>
      </c>
      <c r="E7" s="45" t="s">
        <v>31</v>
      </c>
      <c r="F7" s="44">
        <f>$M$3-C7</f>
        <v>-20.972125999999999</v>
      </c>
      <c r="G7" s="45" t="s">
        <v>31</v>
      </c>
      <c r="H7" s="45" t="s">
        <v>31</v>
      </c>
      <c r="I7" s="46" t="s">
        <v>31</v>
      </c>
      <c r="K7" s="27"/>
    </row>
    <row r="8" spans="1:13" x14ac:dyDescent="0.25">
      <c r="A8" s="38">
        <f>A7*2</f>
        <v>2</v>
      </c>
      <c r="B8" s="44">
        <v>6.5</v>
      </c>
      <c r="C8" s="44">
        <v>1.3320262</v>
      </c>
      <c r="D8" s="44">
        <f>F7/F8</f>
        <v>2.9770177371672526</v>
      </c>
      <c r="E8" s="44">
        <f>(C9-C7)/(C9-C8)</f>
        <v>2.9350155861187153</v>
      </c>
      <c r="F8" s="44">
        <f>$M$3-C8</f>
        <v>-7.0446761999999996</v>
      </c>
      <c r="G8" s="44">
        <f>F7/15</f>
        <v>-1.3981417333333332</v>
      </c>
      <c r="H8" s="44">
        <f>C8+G8</f>
        <v>-6.6115533333333198E-2</v>
      </c>
      <c r="I8" s="47">
        <f>$M$3-H8</f>
        <v>-5.646534466666667</v>
      </c>
    </row>
    <row r="9" spans="1:13" x14ac:dyDescent="0.25">
      <c r="A9" s="38">
        <f t="shared" ref="A9:A30" si="0">A8*2</f>
        <v>4</v>
      </c>
      <c r="B9" s="44">
        <v>3.25</v>
      </c>
      <c r="C9" s="44">
        <v>-5.8655643</v>
      </c>
      <c r="D9" s="44">
        <f t="shared" ref="D9:D30" si="1">F8/F9</f>
        <v>-46.069440202780264</v>
      </c>
      <c r="E9" s="44">
        <f t="shared" ref="E9:E30" si="2">(C10-C8)/(C10-C9)</f>
        <v>-48.440214669838255</v>
      </c>
      <c r="F9" s="44">
        <f t="shared" ref="F9:F30" si="3">$M$3-C9</f>
        <v>0.15291429999999995</v>
      </c>
      <c r="G9" s="44">
        <f t="shared" ref="G9:G30" si="4">F8/15</f>
        <v>-0.46964507999999999</v>
      </c>
      <c r="H9" s="44">
        <f t="shared" ref="H9:H30" si="5">C9+G9</f>
        <v>-6.3352093800000002</v>
      </c>
      <c r="I9" s="47">
        <f t="shared" ref="I9:I30" si="6">$M$3-H9</f>
        <v>0.62255938000000022</v>
      </c>
    </row>
    <row r="10" spans="1:13" x14ac:dyDescent="0.25">
      <c r="A10" s="38">
        <f t="shared" si="0"/>
        <v>8</v>
      </c>
      <c r="B10" s="44">
        <v>1.625</v>
      </c>
      <c r="C10" s="44">
        <v>-5.7199825999999998</v>
      </c>
      <c r="D10" s="44">
        <f t="shared" si="1"/>
        <v>20.854035403540916</v>
      </c>
      <c r="E10" s="44">
        <f t="shared" si="2"/>
        <v>22.10216121410819</v>
      </c>
      <c r="F10" s="44">
        <f t="shared" si="3"/>
        <v>7.3325999999998004E-3</v>
      </c>
      <c r="G10" s="44">
        <f t="shared" si="4"/>
        <v>1.0194286666666663E-2</v>
      </c>
      <c r="H10" s="44">
        <f t="shared" si="5"/>
        <v>-5.7097883133333331</v>
      </c>
      <c r="I10" s="47">
        <f t="shared" si="6"/>
        <v>-2.8616866666668628E-3</v>
      </c>
    </row>
    <row r="11" spans="1:13" x14ac:dyDescent="0.25">
      <c r="A11" s="38">
        <f t="shared" si="0"/>
        <v>16</v>
      </c>
      <c r="B11" s="44">
        <v>0.8125</v>
      </c>
      <c r="C11" s="44">
        <v>-5.7130837000000003</v>
      </c>
      <c r="D11" s="44">
        <f t="shared" si="1"/>
        <v>16.907078625765472</v>
      </c>
      <c r="E11" s="44">
        <f t="shared" si="2"/>
        <v>17.963117777226227</v>
      </c>
      <c r="F11" s="44">
        <f t="shared" si="3"/>
        <v>4.3370000000031439E-4</v>
      </c>
      <c r="G11" s="44">
        <f t="shared" si="4"/>
        <v>4.8883999999998671E-4</v>
      </c>
      <c r="H11" s="44">
        <f t="shared" si="5"/>
        <v>-5.7125948600000003</v>
      </c>
      <c r="I11" s="47">
        <f t="shared" si="6"/>
        <v>-5.5139999999731515E-5</v>
      </c>
    </row>
    <row r="12" spans="1:13" x14ac:dyDescent="0.25">
      <c r="A12" s="38">
        <f t="shared" si="0"/>
        <v>32</v>
      </c>
      <c r="B12" s="44">
        <v>0.40625</v>
      </c>
      <c r="C12" s="44">
        <v>-5.7126770000000002</v>
      </c>
      <c r="D12" s="44">
        <f t="shared" si="1"/>
        <v>16.062962962842956</v>
      </c>
      <c r="E12" s="44">
        <f t="shared" si="2"/>
        <v>16.824902723659971</v>
      </c>
      <c r="F12" s="44">
        <f t="shared" si="3"/>
        <v>2.7000000000221291E-5</v>
      </c>
      <c r="G12" s="44">
        <f t="shared" si="4"/>
        <v>2.8913333333354292E-5</v>
      </c>
      <c r="H12" s="44">
        <f t="shared" si="5"/>
        <v>-5.7126480866666665</v>
      </c>
      <c r="I12" s="47">
        <f t="shared" si="6"/>
        <v>-1.9133333335474845E-6</v>
      </c>
    </row>
    <row r="13" spans="1:13" x14ac:dyDescent="0.25">
      <c r="A13" s="38">
        <f t="shared" si="0"/>
        <v>64</v>
      </c>
      <c r="B13" s="44">
        <v>0.203125</v>
      </c>
      <c r="C13" s="44">
        <v>-5.7126513000000001</v>
      </c>
      <c r="D13" s="44">
        <f t="shared" si="1"/>
        <v>20.769230767916895</v>
      </c>
      <c r="E13" s="44">
        <f t="shared" si="2"/>
        <v>9.8620689651370466</v>
      </c>
      <c r="F13" s="44">
        <f t="shared" si="3"/>
        <v>1.3000000000928935E-6</v>
      </c>
      <c r="G13" s="44">
        <f t="shared" si="4"/>
        <v>1.8000000000147527E-6</v>
      </c>
      <c r="H13" s="44">
        <f t="shared" si="5"/>
        <v>-5.7126495000000004</v>
      </c>
      <c r="I13" s="47">
        <f t="shared" si="6"/>
        <v>-4.9999999962579977E-7</v>
      </c>
    </row>
    <row r="14" spans="1:13" x14ac:dyDescent="0.25">
      <c r="A14" s="38">
        <f t="shared" si="0"/>
        <v>128</v>
      </c>
      <c r="B14" s="44">
        <v>0.1015625</v>
      </c>
      <c r="C14" s="44">
        <v>-5.7126484</v>
      </c>
      <c r="D14" s="44">
        <f t="shared" si="1"/>
        <v>-0.81250000003469447</v>
      </c>
      <c r="E14" s="44">
        <f t="shared" si="2"/>
        <v>-0.20833333358004957</v>
      </c>
      <c r="F14" s="44">
        <f t="shared" si="3"/>
        <v>-1.6000000000460091E-6</v>
      </c>
      <c r="G14" s="44">
        <f t="shared" si="4"/>
        <v>8.6666666672859571E-8</v>
      </c>
      <c r="H14" s="44">
        <f t="shared" si="5"/>
        <v>-5.7126483133333332</v>
      </c>
      <c r="I14" s="47">
        <f t="shared" si="6"/>
        <v>-1.6866666667780805E-6</v>
      </c>
    </row>
    <row r="15" spans="1:13" x14ac:dyDescent="0.25">
      <c r="A15" s="38">
        <f t="shared" si="0"/>
        <v>256</v>
      </c>
      <c r="B15" s="44">
        <v>5.078125E-2</v>
      </c>
      <c r="C15" s="44">
        <v>-5.7126507999999996</v>
      </c>
      <c r="D15" s="44">
        <f t="shared" si="1"/>
        <v>-2.000000001110223</v>
      </c>
      <c r="E15" s="44">
        <f t="shared" si="2"/>
        <v>5.7999999943156579</v>
      </c>
      <c r="F15" s="44">
        <f t="shared" si="3"/>
        <v>7.9999999957891532E-7</v>
      </c>
      <c r="G15" s="44">
        <f t="shared" si="4"/>
        <v>-1.0666666666973393E-7</v>
      </c>
      <c r="H15" s="44">
        <f t="shared" si="5"/>
        <v>-5.7126509066666662</v>
      </c>
      <c r="I15" s="47">
        <f t="shared" si="6"/>
        <v>9.0666666618943736E-7</v>
      </c>
    </row>
    <row r="16" spans="1:13" x14ac:dyDescent="0.25">
      <c r="A16" s="38">
        <f t="shared" si="0"/>
        <v>512</v>
      </c>
      <c r="B16" s="44">
        <v>2.5390630000000001E-2</v>
      </c>
      <c r="C16" s="44">
        <v>-5.7126513000000001</v>
      </c>
      <c r="D16" s="44">
        <f t="shared" si="1"/>
        <v>0.61538461501673081</v>
      </c>
      <c r="E16" s="44">
        <f t="shared" si="2"/>
        <v>0.8837209301268798</v>
      </c>
      <c r="F16" s="44">
        <f t="shared" si="3"/>
        <v>1.3000000000928935E-6</v>
      </c>
      <c r="G16" s="44">
        <f t="shared" si="4"/>
        <v>5.3333333305261021E-8</v>
      </c>
      <c r="H16" s="44">
        <f t="shared" si="5"/>
        <v>-5.7126512466666668</v>
      </c>
      <c r="I16" s="47">
        <f t="shared" si="6"/>
        <v>1.2466666667876325E-6</v>
      </c>
    </row>
    <row r="17" spans="1:9" x14ac:dyDescent="0.25">
      <c r="A17" s="38">
        <f t="shared" si="0"/>
        <v>1024</v>
      </c>
      <c r="B17" s="44">
        <v>1.269531E-2</v>
      </c>
      <c r="C17" s="44">
        <v>-5.7126469999999996</v>
      </c>
      <c r="D17" s="44">
        <f t="shared" si="1"/>
        <v>-0.43333333330372736</v>
      </c>
      <c r="E17" s="44">
        <f t="shared" si="2"/>
        <v>-9.7499999950039964</v>
      </c>
      <c r="F17" s="44">
        <f t="shared" si="3"/>
        <v>-3.0000000004193339E-6</v>
      </c>
      <c r="G17" s="44">
        <f t="shared" si="4"/>
        <v>8.6666666672859571E-8</v>
      </c>
      <c r="H17" s="44">
        <f t="shared" si="5"/>
        <v>-5.7126469133333329</v>
      </c>
      <c r="I17" s="47">
        <f t="shared" si="6"/>
        <v>-3.0866666671514054E-6</v>
      </c>
    </row>
    <row r="18" spans="1:9" x14ac:dyDescent="0.25">
      <c r="A18" s="38">
        <f t="shared" si="0"/>
        <v>2048</v>
      </c>
      <c r="B18" s="44">
        <v>6.3476599999999998E-3</v>
      </c>
      <c r="C18" s="44">
        <v>-5.7126473999999998</v>
      </c>
      <c r="D18" s="44">
        <f t="shared" si="1"/>
        <v>1.1538461539249862</v>
      </c>
      <c r="E18" s="44">
        <f t="shared" si="2"/>
        <v>0.93939393935723781</v>
      </c>
      <c r="F18" s="44">
        <f t="shared" si="3"/>
        <v>-2.600000000185787E-6</v>
      </c>
      <c r="G18" s="44">
        <f t="shared" si="4"/>
        <v>-2.000000000279556E-7</v>
      </c>
      <c r="H18" s="44">
        <f t="shared" si="5"/>
        <v>-5.7126475999999995</v>
      </c>
      <c r="I18" s="47">
        <f t="shared" si="6"/>
        <v>-2.4000000005131028E-6</v>
      </c>
    </row>
    <row r="19" spans="1:9" x14ac:dyDescent="0.25">
      <c r="A19" s="38">
        <f t="shared" si="0"/>
        <v>4096</v>
      </c>
      <c r="B19" s="44">
        <v>3.1738299999999999E-3</v>
      </c>
      <c r="C19" s="44">
        <v>-5.7126408</v>
      </c>
      <c r="D19" s="44">
        <f t="shared" si="1"/>
        <v>0.28260869567106239</v>
      </c>
      <c r="E19" s="44">
        <f t="shared" si="2"/>
        <v>-1.8695652170387194</v>
      </c>
      <c r="F19" s="44">
        <f t="shared" si="3"/>
        <v>-9.2000000000425075E-6</v>
      </c>
      <c r="G19" s="44">
        <f t="shared" si="4"/>
        <v>-1.7333333334571914E-7</v>
      </c>
      <c r="H19" s="44">
        <f t="shared" si="5"/>
        <v>-5.7126409733333334</v>
      </c>
      <c r="I19" s="47">
        <f t="shared" si="6"/>
        <v>-9.0266666665783646E-6</v>
      </c>
    </row>
    <row r="20" spans="1:9" x14ac:dyDescent="0.25">
      <c r="A20" s="38">
        <f t="shared" si="0"/>
        <v>8192</v>
      </c>
      <c r="B20" s="44">
        <v>1.58691E-3</v>
      </c>
      <c r="C20" s="44">
        <v>-5.7126431000000002</v>
      </c>
      <c r="D20" s="44">
        <f t="shared" si="1"/>
        <v>1.3333333333762405</v>
      </c>
      <c r="E20" s="44">
        <f t="shared" si="2"/>
        <v>1.0982905983009794</v>
      </c>
      <c r="F20" s="44">
        <f t="shared" si="3"/>
        <v>-6.899999999809836E-6</v>
      </c>
      <c r="G20" s="44">
        <f t="shared" si="4"/>
        <v>-6.1333333333616717E-7</v>
      </c>
      <c r="H20" s="44">
        <f t="shared" si="5"/>
        <v>-5.7126437133333337</v>
      </c>
      <c r="I20" s="47">
        <f t="shared" si="6"/>
        <v>-6.2866666663552451E-6</v>
      </c>
    </row>
    <row r="21" spans="1:9" x14ac:dyDescent="0.25">
      <c r="A21" s="38">
        <f t="shared" si="0"/>
        <v>16384</v>
      </c>
      <c r="B21" s="44">
        <v>7.9345999999999996E-4</v>
      </c>
      <c r="C21" s="44">
        <v>-5.7126665000000001</v>
      </c>
      <c r="D21" s="44">
        <f t="shared" si="1"/>
        <v>-0.41818181816811628</v>
      </c>
      <c r="E21" s="44">
        <f t="shared" si="2"/>
        <v>0.36239782016441097</v>
      </c>
      <c r="F21" s="44">
        <f t="shared" si="3"/>
        <v>1.650000000008589E-5</v>
      </c>
      <c r="G21" s="44">
        <f t="shared" si="4"/>
        <v>-4.5999999998732239E-7</v>
      </c>
      <c r="H21" s="44">
        <f t="shared" si="5"/>
        <v>-5.71266696</v>
      </c>
      <c r="I21" s="47">
        <f t="shared" si="6"/>
        <v>1.6959999999954789E-5</v>
      </c>
    </row>
    <row r="22" spans="1:9" x14ac:dyDescent="0.25">
      <c r="A22" s="38">
        <f t="shared" si="0"/>
        <v>32768</v>
      </c>
      <c r="B22" s="44">
        <v>3.9672999999999998E-4</v>
      </c>
      <c r="C22" s="44">
        <v>-5.7126298000000002</v>
      </c>
      <c r="D22" s="44">
        <f t="shared" si="1"/>
        <v>-0.81683168318050636</v>
      </c>
      <c r="E22" s="44">
        <f t="shared" si="2"/>
        <v>7.9245283021745259</v>
      </c>
      <c r="F22" s="44">
        <f t="shared" si="3"/>
        <v>-2.0199999999803708E-5</v>
      </c>
      <c r="G22" s="44">
        <f t="shared" si="4"/>
        <v>1.100000000005726E-6</v>
      </c>
      <c r="H22" s="44">
        <f t="shared" si="5"/>
        <v>-5.7126286999999998</v>
      </c>
      <c r="I22" s="47">
        <f t="shared" si="6"/>
        <v>-2.1300000000223918E-5</v>
      </c>
    </row>
    <row r="23" spans="1:9" x14ac:dyDescent="0.25">
      <c r="A23" s="38">
        <f t="shared" si="0"/>
        <v>65536</v>
      </c>
      <c r="B23" s="44">
        <v>1.9835999999999999E-4</v>
      </c>
      <c r="C23" s="44">
        <v>-5.7126245000000004</v>
      </c>
      <c r="D23" s="44">
        <f t="shared" si="1"/>
        <v>0.79215686275083486</v>
      </c>
      <c r="E23" s="44">
        <f t="shared" si="2"/>
        <v>0.85941644562640418</v>
      </c>
      <c r="F23" s="44">
        <f t="shared" si="3"/>
        <v>-2.5499999999567535E-5</v>
      </c>
      <c r="G23" s="44">
        <f t="shared" si="4"/>
        <v>-1.3466666666535805E-6</v>
      </c>
      <c r="H23" s="44">
        <f t="shared" si="5"/>
        <v>-5.7126258466666675</v>
      </c>
      <c r="I23" s="47">
        <f t="shared" si="6"/>
        <v>-2.4153333332499471E-5</v>
      </c>
    </row>
    <row r="24" spans="1:9" x14ac:dyDescent="0.25">
      <c r="A24" s="38">
        <f t="shared" si="0"/>
        <v>131072</v>
      </c>
      <c r="B24" s="44">
        <v>9.9179999999999996E-5</v>
      </c>
      <c r="C24" s="44">
        <v>-5.7126621999999996</v>
      </c>
      <c r="D24" s="44">
        <f t="shared" si="1"/>
        <v>-2.0901639344638236</v>
      </c>
      <c r="E24" s="44">
        <f t="shared" si="2"/>
        <v>-0.49011857704734713</v>
      </c>
      <c r="F24" s="44">
        <f t="shared" si="3"/>
        <v>1.2199999999573663E-5</v>
      </c>
      <c r="G24" s="44">
        <f t="shared" si="4"/>
        <v>-1.6999999999711689E-6</v>
      </c>
      <c r="H24" s="44">
        <f t="shared" si="5"/>
        <v>-5.7126638999999999</v>
      </c>
      <c r="I24" s="47">
        <f t="shared" si="6"/>
        <v>1.3899999999900103E-5</v>
      </c>
    </row>
    <row r="25" spans="1:9" x14ac:dyDescent="0.25">
      <c r="A25" s="38">
        <f t="shared" si="0"/>
        <v>262144</v>
      </c>
      <c r="B25" s="44">
        <v>4.9589999999999998E-5</v>
      </c>
      <c r="C25" s="44">
        <v>-5.7126368999999997</v>
      </c>
      <c r="D25" s="44">
        <f t="shared" si="1"/>
        <v>-0.93129770986828564</v>
      </c>
      <c r="E25" s="44">
        <f t="shared" si="2"/>
        <v>0.65578231292687994</v>
      </c>
      <c r="F25" s="44">
        <f t="shared" si="3"/>
        <v>-1.3100000000321188E-5</v>
      </c>
      <c r="G25" s="44">
        <f t="shared" si="4"/>
        <v>8.1333333330491091E-7</v>
      </c>
      <c r="H25" s="44">
        <f t="shared" si="5"/>
        <v>-5.7126360866666666</v>
      </c>
      <c r="I25" s="47">
        <f t="shared" si="6"/>
        <v>-1.3913333333448463E-5</v>
      </c>
    </row>
    <row r="26" spans="1:9" x14ac:dyDescent="0.25">
      <c r="A26" s="38">
        <f t="shared" si="0"/>
        <v>524288</v>
      </c>
      <c r="B26" s="44">
        <v>2.48E-5</v>
      </c>
      <c r="C26" s="44">
        <v>-5.7127103999999997</v>
      </c>
      <c r="D26" s="44">
        <f t="shared" si="1"/>
        <v>-0.21688741722479996</v>
      </c>
      <c r="E26" s="44">
        <f t="shared" si="2"/>
        <v>0.59748083241935812</v>
      </c>
      <c r="F26" s="44">
        <f t="shared" si="3"/>
        <v>6.0399999999738441E-5</v>
      </c>
      <c r="G26" s="44">
        <f t="shared" si="4"/>
        <v>-8.7333333335474583E-7</v>
      </c>
      <c r="H26" s="44">
        <f t="shared" si="5"/>
        <v>-5.7127112733333334</v>
      </c>
      <c r="I26" s="47">
        <f t="shared" si="6"/>
        <v>6.1273333333389246E-5</v>
      </c>
    </row>
    <row r="27" spans="1:9" x14ac:dyDescent="0.25">
      <c r="A27" s="38">
        <f t="shared" si="0"/>
        <v>1048576</v>
      </c>
      <c r="B27" s="44">
        <v>1.24E-5</v>
      </c>
      <c r="C27" s="44">
        <v>-5.7125278000000002</v>
      </c>
      <c r="D27" s="44">
        <f t="shared" si="1"/>
        <v>-0.49427168575951291</v>
      </c>
      <c r="E27" s="44">
        <f t="shared" si="2"/>
        <v>0.8577992368198224</v>
      </c>
      <c r="F27" s="44">
        <f t="shared" si="3"/>
        <v>-1.2219999999985021E-4</v>
      </c>
      <c r="G27" s="44">
        <f t="shared" si="4"/>
        <v>4.0266666666492295E-6</v>
      </c>
      <c r="H27" s="44">
        <f t="shared" si="5"/>
        <v>-5.7125237733333334</v>
      </c>
      <c r="I27" s="47">
        <f t="shared" si="6"/>
        <v>-1.2622666666661786E-4</v>
      </c>
    </row>
    <row r="28" spans="1:9" x14ac:dyDescent="0.25">
      <c r="A28" s="38">
        <f t="shared" si="0"/>
        <v>2097152</v>
      </c>
      <c r="B28" s="44">
        <v>6.1999999999999999E-6</v>
      </c>
      <c r="C28" s="44">
        <v>-5.7138118999999996</v>
      </c>
      <c r="D28" s="44">
        <f t="shared" si="1"/>
        <v>-0.10517256218253873</v>
      </c>
      <c r="E28" s="44">
        <f t="shared" si="2"/>
        <v>0.5176545714072418</v>
      </c>
      <c r="F28" s="44">
        <f t="shared" si="3"/>
        <v>1.1618999999996049E-3</v>
      </c>
      <c r="G28" s="44">
        <f t="shared" si="4"/>
        <v>-8.1466666666566812E-6</v>
      </c>
      <c r="H28" s="44">
        <f t="shared" si="5"/>
        <v>-5.7138200466666662</v>
      </c>
      <c r="I28" s="47">
        <f t="shared" si="6"/>
        <v>1.1700466666662024E-3</v>
      </c>
    </row>
    <row r="29" spans="1:9" x14ac:dyDescent="0.25">
      <c r="A29" s="38">
        <f t="shared" si="0"/>
        <v>4194304</v>
      </c>
      <c r="B29" s="44">
        <v>3.1E-6</v>
      </c>
      <c r="C29" s="44">
        <v>-5.7111497</v>
      </c>
      <c r="D29" s="44">
        <f t="shared" si="1"/>
        <v>-0.77444511097753599</v>
      </c>
      <c r="E29" s="44">
        <f t="shared" si="2"/>
        <v>0.60715972140248375</v>
      </c>
      <c r="F29" s="44">
        <f t="shared" si="3"/>
        <v>-1.50030000000001E-3</v>
      </c>
      <c r="G29" s="44">
        <f t="shared" si="4"/>
        <v>7.7459999999973661E-5</v>
      </c>
      <c r="H29" s="44">
        <f t="shared" si="5"/>
        <v>-5.71107224</v>
      </c>
      <c r="I29" s="47">
        <f t="shared" si="6"/>
        <v>-1.5777599999999836E-3</v>
      </c>
    </row>
    <row r="30" spans="1:9" ht="15.75" thickBot="1" x14ac:dyDescent="0.3">
      <c r="A30" s="39">
        <f t="shared" si="0"/>
        <v>8388608</v>
      </c>
      <c r="B30" s="48">
        <v>1.55E-6</v>
      </c>
      <c r="C30" s="48">
        <v>-5.7179264999999999</v>
      </c>
      <c r="D30" s="48">
        <f t="shared" si="1"/>
        <v>-0.28433620771345336</v>
      </c>
      <c r="E30" s="48">
        <f t="shared" si="2"/>
        <v>0.9988148151257279</v>
      </c>
      <c r="F30" s="48">
        <f t="shared" si="3"/>
        <v>5.2764999999999063E-3</v>
      </c>
      <c r="G30" s="48">
        <f t="shared" si="4"/>
        <v>-1.0002000000000066E-4</v>
      </c>
      <c r="H30" s="48">
        <f t="shared" si="5"/>
        <v>-5.7180265199999996</v>
      </c>
      <c r="I30" s="49">
        <f t="shared" si="6"/>
        <v>5.3765199999995517E-3</v>
      </c>
    </row>
    <row r="31" spans="1:9" x14ac:dyDescent="0.25">
      <c r="A31" s="22"/>
      <c r="B31" s="24"/>
    </row>
    <row r="32" spans="1:9" x14ac:dyDescent="0.25">
      <c r="A32" s="22"/>
      <c r="B32" s="24"/>
    </row>
    <row r="33" spans="1:9" ht="15.75" thickBot="1" x14ac:dyDescent="0.3">
      <c r="A33" s="22"/>
      <c r="B33" s="24"/>
    </row>
    <row r="34" spans="1:9" x14ac:dyDescent="0.25">
      <c r="A34" s="73" t="s">
        <v>47</v>
      </c>
      <c r="B34" s="74"/>
      <c r="C34" s="74"/>
      <c r="D34" s="74"/>
      <c r="E34" s="74"/>
      <c r="F34" s="74"/>
      <c r="G34" s="74"/>
      <c r="H34" s="74"/>
      <c r="I34" s="75"/>
    </row>
    <row r="35" spans="1:9" x14ac:dyDescent="0.25">
      <c r="A35" s="70" t="s">
        <v>42</v>
      </c>
      <c r="B35" s="71"/>
      <c r="C35" s="71"/>
      <c r="D35" s="71"/>
      <c r="E35" s="71"/>
      <c r="F35" s="71"/>
      <c r="G35" s="71"/>
      <c r="H35" s="71"/>
      <c r="I35" s="72"/>
    </row>
    <row r="36" spans="1:9" x14ac:dyDescent="0.25">
      <c r="A36" s="70" t="s">
        <v>45</v>
      </c>
      <c r="B36" s="71"/>
      <c r="C36" s="71"/>
      <c r="D36" s="71"/>
      <c r="E36" s="71"/>
      <c r="F36" s="71"/>
      <c r="G36" s="71"/>
      <c r="H36" s="71"/>
      <c r="I36" s="72"/>
    </row>
    <row r="37" spans="1:9" x14ac:dyDescent="0.25">
      <c r="A37" s="70" t="s">
        <v>48</v>
      </c>
      <c r="B37" s="71"/>
      <c r="C37" s="71"/>
      <c r="D37" s="71"/>
      <c r="E37" s="71"/>
      <c r="F37" s="71"/>
      <c r="G37" s="71"/>
      <c r="H37" s="71"/>
      <c r="I37" s="72"/>
    </row>
    <row r="38" spans="1:9" ht="93" x14ac:dyDescent="0.25">
      <c r="A38" s="35" t="s">
        <v>3</v>
      </c>
      <c r="B38" s="34" t="s">
        <v>32</v>
      </c>
      <c r="C38" s="34" t="s">
        <v>4</v>
      </c>
      <c r="D38" s="34" t="s">
        <v>11</v>
      </c>
      <c r="E38" s="34" t="s">
        <v>33</v>
      </c>
      <c r="F38" s="34" t="s">
        <v>5</v>
      </c>
      <c r="G38" s="34" t="s">
        <v>6</v>
      </c>
      <c r="H38" s="34" t="s">
        <v>7</v>
      </c>
      <c r="I38" s="36" t="s">
        <v>8</v>
      </c>
    </row>
    <row r="39" spans="1:9" x14ac:dyDescent="0.25">
      <c r="A39" s="37" t="s">
        <v>9</v>
      </c>
      <c r="B39" s="6" t="s">
        <v>34</v>
      </c>
      <c r="C39" s="6" t="s">
        <v>20</v>
      </c>
      <c r="D39" s="6" t="s">
        <v>21</v>
      </c>
      <c r="E39" s="6" t="s">
        <v>35</v>
      </c>
      <c r="F39" s="23" t="s">
        <v>22</v>
      </c>
      <c r="G39" s="30" t="s">
        <v>53</v>
      </c>
      <c r="H39" s="23" t="s">
        <v>24</v>
      </c>
      <c r="I39" s="7" t="s">
        <v>25</v>
      </c>
    </row>
    <row r="40" spans="1:9" x14ac:dyDescent="0.25">
      <c r="A40" s="38">
        <v>1</v>
      </c>
      <c r="B40" s="44">
        <v>8</v>
      </c>
      <c r="C40" s="44">
        <v>71512.726999999999</v>
      </c>
      <c r="D40" s="45" t="s">
        <v>31</v>
      </c>
      <c r="E40" s="45" t="s">
        <v>31</v>
      </c>
      <c r="F40" s="44">
        <f>$M$2-C40</f>
        <v>-27846.060333333298</v>
      </c>
      <c r="G40" s="45" t="s">
        <v>31</v>
      </c>
      <c r="H40" s="45" t="s">
        <v>31</v>
      </c>
      <c r="I40" s="46" t="s">
        <v>31</v>
      </c>
    </row>
    <row r="41" spans="1:9" x14ac:dyDescent="0.25">
      <c r="A41" s="38">
        <f>A40*2</f>
        <v>2</v>
      </c>
      <c r="B41" s="44">
        <v>4</v>
      </c>
      <c r="C41" s="44">
        <v>47429.762000000002</v>
      </c>
      <c r="D41" s="44">
        <f>F40/F41</f>
        <v>7.3997754153806179</v>
      </c>
      <c r="E41" s="44">
        <f>(C42-C40)/(C42-C41)</f>
        <v>7.8881426699650063</v>
      </c>
      <c r="F41" s="44">
        <f>$M$2-C41</f>
        <v>-3763.0953333333018</v>
      </c>
      <c r="G41" s="44">
        <f>F40/15</f>
        <v>-1856.40402222222</v>
      </c>
      <c r="H41" s="44">
        <f>C41+G41</f>
        <v>45573.357977777785</v>
      </c>
      <c r="I41" s="47">
        <f>$M$2-H41</f>
        <v>-1906.6913111110844</v>
      </c>
    </row>
    <row r="42" spans="1:9" x14ac:dyDescent="0.25">
      <c r="A42" s="38">
        <f t="shared" ref="A42:A63" si="7">A41*2</f>
        <v>4</v>
      </c>
      <c r="B42" s="44">
        <v>2</v>
      </c>
      <c r="C42" s="44">
        <v>43933.468999999997</v>
      </c>
      <c r="D42" s="44">
        <f t="shared" ref="D42:D63" si="8">F41/F42</f>
        <v>14.10443187028781</v>
      </c>
      <c r="E42" s="44">
        <f t="shared" ref="E42:E63" si="9">(C43-C41)/(C43-C42)</f>
        <v>15.005507997612826</v>
      </c>
      <c r="F42" s="44">
        <f t="shared" ref="F42:F63" si="10">$M$2-C42</f>
        <v>-266.8023333332967</v>
      </c>
      <c r="G42" s="44">
        <f t="shared" ref="G42:G63" si="11">F41/15</f>
        <v>-250.87302222222013</v>
      </c>
      <c r="H42" s="44">
        <f t="shared" ref="H42:H63" si="12">C42+G42</f>
        <v>43682.595977777775</v>
      </c>
      <c r="I42" s="47">
        <f t="shared" ref="I42:I63" si="13">$M$2-H42</f>
        <v>-15.929311111074639</v>
      </c>
    </row>
    <row r="43" spans="1:9" x14ac:dyDescent="0.25">
      <c r="A43" s="38">
        <f t="shared" si="7"/>
        <v>8</v>
      </c>
      <c r="B43" s="44">
        <v>1</v>
      </c>
      <c r="C43" s="44">
        <v>43683.832000000002</v>
      </c>
      <c r="D43" s="44">
        <f t="shared" si="8"/>
        <v>15.543090725519903</v>
      </c>
      <c r="E43" s="44">
        <f t="shared" si="9"/>
        <v>16.522758363385257</v>
      </c>
      <c r="F43" s="44">
        <f t="shared" si="10"/>
        <v>-17.165333333301533</v>
      </c>
      <c r="G43" s="44">
        <f t="shared" si="11"/>
        <v>-17.786822222219779</v>
      </c>
      <c r="H43" s="44">
        <f t="shared" si="12"/>
        <v>43666.045177777785</v>
      </c>
      <c r="I43" s="47">
        <f t="shared" si="13"/>
        <v>0.62148888891533716</v>
      </c>
    </row>
    <row r="44" spans="1:9" x14ac:dyDescent="0.25">
      <c r="A44" s="38">
        <f t="shared" si="7"/>
        <v>16</v>
      </c>
      <c r="B44" s="44">
        <v>0.5</v>
      </c>
      <c r="C44" s="44">
        <v>43667.75</v>
      </c>
      <c r="D44" s="44">
        <f t="shared" si="8"/>
        <v>15.844923077390343</v>
      </c>
      <c r="E44" s="44">
        <f t="shared" si="9"/>
        <v>16.82874015743165</v>
      </c>
      <c r="F44" s="44">
        <f t="shared" si="10"/>
        <v>-1.0833333332993789</v>
      </c>
      <c r="G44" s="44">
        <f t="shared" si="11"/>
        <v>-1.1443555555534355</v>
      </c>
      <c r="H44" s="44">
        <f t="shared" si="12"/>
        <v>43666.605644444448</v>
      </c>
      <c r="I44" s="47">
        <f t="shared" si="13"/>
        <v>6.1022222253086511E-2</v>
      </c>
    </row>
    <row r="45" spans="1:9" x14ac:dyDescent="0.25">
      <c r="A45" s="38">
        <f t="shared" si="7"/>
        <v>32</v>
      </c>
      <c r="B45" s="44">
        <v>0.25</v>
      </c>
      <c r="C45" s="44">
        <v>43666.733999999997</v>
      </c>
      <c r="D45" s="44">
        <f t="shared" si="8"/>
        <v>16.089108919279017</v>
      </c>
      <c r="E45" s="44">
        <f t="shared" si="9"/>
        <v>17.387096774753818</v>
      </c>
      <c r="F45" s="44">
        <f t="shared" si="10"/>
        <v>-6.7333333296119235E-2</v>
      </c>
      <c r="G45" s="44">
        <f t="shared" si="11"/>
        <v>-7.2222222219958596E-2</v>
      </c>
      <c r="H45" s="44">
        <f t="shared" si="12"/>
        <v>43666.661777777779</v>
      </c>
      <c r="I45" s="47">
        <f t="shared" si="13"/>
        <v>4.8888889214140363E-3</v>
      </c>
    </row>
    <row r="46" spans="1:9" x14ac:dyDescent="0.25">
      <c r="A46" s="38">
        <f t="shared" si="7"/>
        <v>64</v>
      </c>
      <c r="B46" s="44">
        <v>0.125</v>
      </c>
      <c r="C46" s="44">
        <v>43666.671999999999</v>
      </c>
      <c r="D46" s="44">
        <f t="shared" si="8"/>
        <v>12.625000076568085</v>
      </c>
      <c r="E46" s="44">
        <f t="shared" si="9"/>
        <v>8.7499999981810106</v>
      </c>
      <c r="F46" s="44">
        <f t="shared" si="10"/>
        <v>-5.3333332980400883E-3</v>
      </c>
      <c r="G46" s="44">
        <f t="shared" si="11"/>
        <v>-4.4888888864079487E-3</v>
      </c>
      <c r="H46" s="44">
        <f t="shared" si="12"/>
        <v>43666.667511111111</v>
      </c>
      <c r="I46" s="47">
        <f t="shared" si="13"/>
        <v>-8.4444441017694771E-4</v>
      </c>
    </row>
    <row r="47" spans="1:9" x14ac:dyDescent="0.25">
      <c r="A47" s="38">
        <f t="shared" si="7"/>
        <v>128</v>
      </c>
      <c r="B47" s="44">
        <v>6.25E-2</v>
      </c>
      <c r="C47" s="44">
        <v>43666.663999999997</v>
      </c>
      <c r="D47" s="44">
        <f t="shared" si="8"/>
        <v>-1.9999999590727391</v>
      </c>
      <c r="E47" s="44" t="e">
        <f t="shared" si="9"/>
        <v>#DIV/0!</v>
      </c>
      <c r="F47" s="44">
        <f t="shared" si="10"/>
        <v>2.6666667035897262E-3</v>
      </c>
      <c r="G47" s="44">
        <f t="shared" si="11"/>
        <v>-3.5555555320267255E-4</v>
      </c>
      <c r="H47" s="44">
        <f t="shared" si="12"/>
        <v>43666.663644444445</v>
      </c>
      <c r="I47" s="47">
        <f t="shared" si="13"/>
        <v>3.0222222558222711E-3</v>
      </c>
    </row>
    <row r="48" spans="1:9" x14ac:dyDescent="0.25">
      <c r="A48" s="38">
        <f t="shared" si="7"/>
        <v>256</v>
      </c>
      <c r="B48" s="44">
        <v>3.125E-2</v>
      </c>
      <c r="C48" s="44">
        <v>43666.663999999997</v>
      </c>
      <c r="D48" s="44">
        <f t="shared" si="8"/>
        <v>1</v>
      </c>
      <c r="E48" s="44" t="e">
        <f t="shared" si="9"/>
        <v>#DIV/0!</v>
      </c>
      <c r="F48" s="44">
        <f t="shared" si="10"/>
        <v>2.6666667035897262E-3</v>
      </c>
      <c r="G48" s="44">
        <f t="shared" si="11"/>
        <v>1.7777778023931508E-4</v>
      </c>
      <c r="H48" s="44">
        <f t="shared" si="12"/>
        <v>43666.664177777777</v>
      </c>
      <c r="I48" s="47">
        <f t="shared" si="13"/>
        <v>2.488888923835475E-3</v>
      </c>
    </row>
    <row r="49" spans="1:9" x14ac:dyDescent="0.25">
      <c r="A49" s="38">
        <f t="shared" si="7"/>
        <v>512</v>
      </c>
      <c r="B49" s="44">
        <v>1.5625E-2</v>
      </c>
      <c r="C49" s="44">
        <v>43666.663999999997</v>
      </c>
      <c r="D49" s="44">
        <f t="shared" si="8"/>
        <v>1</v>
      </c>
      <c r="E49" s="44" t="e">
        <f t="shared" si="9"/>
        <v>#DIV/0!</v>
      </c>
      <c r="F49" s="44">
        <f t="shared" si="10"/>
        <v>2.6666667035897262E-3</v>
      </c>
      <c r="G49" s="44">
        <f t="shared" si="11"/>
        <v>1.7777778023931508E-4</v>
      </c>
      <c r="H49" s="44">
        <f t="shared" si="12"/>
        <v>43666.664177777777</v>
      </c>
      <c r="I49" s="47">
        <f t="shared" si="13"/>
        <v>2.488888923835475E-3</v>
      </c>
    </row>
    <row r="50" spans="1:9" x14ac:dyDescent="0.25">
      <c r="A50" s="38">
        <f t="shared" si="7"/>
        <v>1024</v>
      </c>
      <c r="B50" s="44">
        <v>7.8125E-3</v>
      </c>
      <c r="C50" s="44">
        <v>43666.663999999997</v>
      </c>
      <c r="D50" s="44">
        <f t="shared" si="8"/>
        <v>1</v>
      </c>
      <c r="E50" s="44">
        <f t="shared" si="9"/>
        <v>1</v>
      </c>
      <c r="F50" s="44">
        <f t="shared" si="10"/>
        <v>2.6666667035897262E-3</v>
      </c>
      <c r="G50" s="44">
        <f t="shared" si="11"/>
        <v>1.7777778023931508E-4</v>
      </c>
      <c r="H50" s="44">
        <f t="shared" si="12"/>
        <v>43666.664177777777</v>
      </c>
      <c r="I50" s="47">
        <f t="shared" si="13"/>
        <v>2.488888923835475E-3</v>
      </c>
    </row>
    <row r="51" spans="1:9" x14ac:dyDescent="0.25">
      <c r="A51" s="38">
        <f t="shared" si="7"/>
        <v>2048</v>
      </c>
      <c r="B51" s="44">
        <v>3.90625E-3</v>
      </c>
      <c r="C51" s="44">
        <v>43666.68</v>
      </c>
      <c r="D51" s="44">
        <f t="shared" si="8"/>
        <v>-0.20000000327418094</v>
      </c>
      <c r="E51" s="44">
        <f t="shared" si="9"/>
        <v>-0.33333333333333331</v>
      </c>
      <c r="F51" s="44">
        <f t="shared" si="10"/>
        <v>-1.3333333299669903E-2</v>
      </c>
      <c r="G51" s="44">
        <f t="shared" si="11"/>
        <v>1.7777778023931508E-4</v>
      </c>
      <c r="H51" s="44">
        <f t="shared" si="12"/>
        <v>43666.68017777778</v>
      </c>
      <c r="I51" s="47">
        <f t="shared" si="13"/>
        <v>-1.3511111079424154E-2</v>
      </c>
    </row>
    <row r="52" spans="1:9" x14ac:dyDescent="0.25">
      <c r="A52" s="38">
        <f t="shared" si="7"/>
        <v>4096</v>
      </c>
      <c r="B52" s="44">
        <v>1.95313E-3</v>
      </c>
      <c r="C52" s="44">
        <v>43666.667999999998</v>
      </c>
      <c r="D52" s="44">
        <f t="shared" si="8"/>
        <v>10.000000245563577</v>
      </c>
      <c r="E52" s="44">
        <f t="shared" si="9"/>
        <v>1.7500000003410605</v>
      </c>
      <c r="F52" s="44">
        <f t="shared" si="10"/>
        <v>-1.333333297225181E-3</v>
      </c>
      <c r="G52" s="44">
        <f t="shared" si="11"/>
        <v>-8.8888888664466015E-4</v>
      </c>
      <c r="H52" s="44">
        <f t="shared" si="12"/>
        <v>43666.667111111114</v>
      </c>
      <c r="I52" s="47">
        <f t="shared" si="13"/>
        <v>-4.4444441300584003E-4</v>
      </c>
    </row>
    <row r="53" spans="1:9" x14ac:dyDescent="0.25">
      <c r="A53" s="38">
        <f t="shared" si="7"/>
        <v>8192</v>
      </c>
      <c r="B53" s="44">
        <v>9.7656000000000001E-4</v>
      </c>
      <c r="C53" s="44">
        <v>43666.652000000002</v>
      </c>
      <c r="D53" s="44">
        <f t="shared" si="8"/>
        <v>-9.0909088248255179E-2</v>
      </c>
      <c r="E53" s="44">
        <f t="shared" si="9"/>
        <v>0.79487179492680704</v>
      </c>
      <c r="F53" s="44">
        <f t="shared" si="10"/>
        <v>1.466666669875849E-2</v>
      </c>
      <c r="G53" s="44">
        <f t="shared" si="11"/>
        <v>-8.8888886481678733E-5</v>
      </c>
      <c r="H53" s="44">
        <f t="shared" si="12"/>
        <v>43666.651911111112</v>
      </c>
      <c r="I53" s="47">
        <f t="shared" si="13"/>
        <v>1.4755555588635616E-2</v>
      </c>
    </row>
    <row r="54" spans="1:9" x14ac:dyDescent="0.25">
      <c r="A54" s="38">
        <f t="shared" si="7"/>
        <v>16384</v>
      </c>
      <c r="B54" s="44">
        <v>4.8828000000000001E-4</v>
      </c>
      <c r="C54" s="44">
        <v>43666.73</v>
      </c>
      <c r="D54" s="44">
        <f t="shared" si="8"/>
        <v>-0.23157894798758288</v>
      </c>
      <c r="E54" s="44">
        <f t="shared" si="9"/>
        <v>-3.1052631579148917</v>
      </c>
      <c r="F54" s="44">
        <f t="shared" si="10"/>
        <v>-6.3333333302580286E-2</v>
      </c>
      <c r="G54" s="44">
        <f t="shared" si="11"/>
        <v>9.7777777991723278E-4</v>
      </c>
      <c r="H54" s="44">
        <f t="shared" si="12"/>
        <v>43666.730977777785</v>
      </c>
      <c r="I54" s="47">
        <f t="shared" si="13"/>
        <v>-6.431111108395271E-2</v>
      </c>
    </row>
    <row r="55" spans="1:9" x14ac:dyDescent="0.25">
      <c r="A55" s="38">
        <f t="shared" si="7"/>
        <v>32768</v>
      </c>
      <c r="B55" s="44">
        <v>2.4414E-4</v>
      </c>
      <c r="C55" s="44">
        <v>43666.711000000003</v>
      </c>
      <c r="D55" s="44">
        <f t="shared" si="8"/>
        <v>1.4285714288762217</v>
      </c>
      <c r="E55" s="44">
        <f t="shared" si="9"/>
        <v>1.2209302325532208</v>
      </c>
      <c r="F55" s="44">
        <f t="shared" si="10"/>
        <v>-4.4333333302347455E-2</v>
      </c>
      <c r="G55" s="44">
        <f t="shared" si="11"/>
        <v>-4.2222222201720189E-3</v>
      </c>
      <c r="H55" s="44">
        <f t="shared" si="12"/>
        <v>43666.706777777785</v>
      </c>
      <c r="I55" s="47">
        <f t="shared" si="13"/>
        <v>-4.0111111084115691E-2</v>
      </c>
    </row>
    <row r="56" spans="1:9" x14ac:dyDescent="0.25">
      <c r="A56" s="38">
        <f t="shared" si="7"/>
        <v>65536</v>
      </c>
      <c r="B56" s="44">
        <v>1.2207E-4</v>
      </c>
      <c r="C56" s="44">
        <v>43666.625</v>
      </c>
      <c r="D56" s="44">
        <f t="shared" si="8"/>
        <v>-1.0639999983892776</v>
      </c>
      <c r="E56" s="44">
        <f t="shared" si="9"/>
        <v>-1.2051282053721721</v>
      </c>
      <c r="F56" s="44">
        <f t="shared" si="10"/>
        <v>4.1666666700621136E-2</v>
      </c>
      <c r="G56" s="44">
        <f t="shared" si="11"/>
        <v>-2.9555555534898303E-3</v>
      </c>
      <c r="H56" s="44">
        <f t="shared" si="12"/>
        <v>43666.622044444448</v>
      </c>
      <c r="I56" s="47">
        <f t="shared" si="13"/>
        <v>4.4622222252655774E-2</v>
      </c>
    </row>
    <row r="57" spans="1:9" x14ac:dyDescent="0.25">
      <c r="A57" s="38">
        <f t="shared" si="7"/>
        <v>131072</v>
      </c>
      <c r="B57" s="44">
        <v>6.1039999999999998E-5</v>
      </c>
      <c r="C57" s="44">
        <v>43666.663999999997</v>
      </c>
      <c r="D57" s="44">
        <f t="shared" si="8"/>
        <v>15.624999796386877</v>
      </c>
      <c r="E57" s="44">
        <f t="shared" si="9"/>
        <v>2.4444444442348487</v>
      </c>
      <c r="F57" s="44">
        <f t="shared" si="10"/>
        <v>2.6666667035897262E-3</v>
      </c>
      <c r="G57" s="44">
        <f t="shared" si="11"/>
        <v>2.777777780041409E-3</v>
      </c>
      <c r="H57" s="44">
        <f t="shared" si="12"/>
        <v>43666.666777777777</v>
      </c>
      <c r="I57" s="47">
        <f t="shared" si="13"/>
        <v>-1.1111107596661896E-4</v>
      </c>
    </row>
    <row r="58" spans="1:9" x14ac:dyDescent="0.25">
      <c r="A58" s="38">
        <f t="shared" si="7"/>
        <v>262144</v>
      </c>
      <c r="B58" s="44">
        <v>3.0519999999999999E-5</v>
      </c>
      <c r="C58" s="44">
        <v>43666.690999999999</v>
      </c>
      <c r="D58" s="44">
        <f t="shared" si="8"/>
        <v>-0.10958904277117658</v>
      </c>
      <c r="E58" s="44">
        <f t="shared" si="9"/>
        <v>0</v>
      </c>
      <c r="F58" s="44">
        <f t="shared" si="10"/>
        <v>-2.4333333298272919E-2</v>
      </c>
      <c r="G58" s="44">
        <f t="shared" si="11"/>
        <v>1.7777778023931508E-4</v>
      </c>
      <c r="H58" s="44">
        <f t="shared" si="12"/>
        <v>43666.691177777779</v>
      </c>
      <c r="I58" s="47">
        <f t="shared" si="13"/>
        <v>-2.451111107802717E-2</v>
      </c>
    </row>
    <row r="59" spans="1:9" x14ac:dyDescent="0.25">
      <c r="A59" s="38">
        <f t="shared" si="7"/>
        <v>524288</v>
      </c>
      <c r="B59" s="44">
        <v>1.526E-5</v>
      </c>
      <c r="C59" s="44">
        <v>43666.663999999997</v>
      </c>
      <c r="D59" s="44">
        <f t="shared" si="8"/>
        <v>-9.1249998605062519</v>
      </c>
      <c r="E59" s="44">
        <f t="shared" si="9"/>
        <v>1.6279069768189525</v>
      </c>
      <c r="F59" s="44">
        <f t="shared" si="10"/>
        <v>2.6666667035897262E-3</v>
      </c>
      <c r="G59" s="44">
        <f t="shared" si="11"/>
        <v>-1.6222222198848612E-3</v>
      </c>
      <c r="H59" s="44">
        <f t="shared" si="12"/>
        <v>43666.662377777779</v>
      </c>
      <c r="I59" s="47">
        <f t="shared" si="13"/>
        <v>4.288888922019396E-3</v>
      </c>
    </row>
    <row r="60" spans="1:9" x14ac:dyDescent="0.25">
      <c r="A60" s="38">
        <f t="shared" si="7"/>
        <v>1048576</v>
      </c>
      <c r="B60" s="44">
        <v>7.6299999999999998E-6</v>
      </c>
      <c r="C60" s="44">
        <v>43666.620999999999</v>
      </c>
      <c r="D60" s="44">
        <f t="shared" si="8"/>
        <v>5.8394161348016005E-2</v>
      </c>
      <c r="E60" s="44">
        <f t="shared" si="9"/>
        <v>0.88154269972965316</v>
      </c>
      <c r="F60" s="44">
        <f t="shared" si="10"/>
        <v>4.5666666701436043E-2</v>
      </c>
      <c r="G60" s="44">
        <f t="shared" si="11"/>
        <v>1.7777778023931508E-4</v>
      </c>
      <c r="H60" s="44">
        <f t="shared" si="12"/>
        <v>43666.621177777779</v>
      </c>
      <c r="I60" s="47">
        <f t="shared" si="13"/>
        <v>4.5488888921681792E-2</v>
      </c>
    </row>
    <row r="61" spans="1:9" x14ac:dyDescent="0.25">
      <c r="A61" s="38">
        <f t="shared" si="7"/>
        <v>2097152</v>
      </c>
      <c r="B61" s="44">
        <v>3.8099999999999999E-6</v>
      </c>
      <c r="C61" s="44">
        <v>43666.983999999997</v>
      </c>
      <c r="D61" s="44">
        <f t="shared" si="8"/>
        <v>-0.14390756315165368</v>
      </c>
      <c r="E61" s="44">
        <f t="shared" si="9"/>
        <v>0.53040103492822765</v>
      </c>
      <c r="F61" s="44">
        <f t="shared" si="10"/>
        <v>-0.31733333329611924</v>
      </c>
      <c r="G61" s="44">
        <f t="shared" si="11"/>
        <v>3.044444446762403E-3</v>
      </c>
      <c r="H61" s="44">
        <f t="shared" si="12"/>
        <v>43666.987044444446</v>
      </c>
      <c r="I61" s="47">
        <f t="shared" si="13"/>
        <v>-0.32037777774530696</v>
      </c>
    </row>
    <row r="62" spans="1:9" x14ac:dyDescent="0.25">
      <c r="A62" s="38">
        <f t="shared" si="7"/>
        <v>4194304</v>
      </c>
      <c r="B62" s="44">
        <v>1.9099999999999999E-6</v>
      </c>
      <c r="C62" s="44">
        <v>43666.211000000003</v>
      </c>
      <c r="D62" s="44">
        <f t="shared" si="8"/>
        <v>-0.6964155082835557</v>
      </c>
      <c r="E62" s="44">
        <f t="shared" si="9"/>
        <v>1.1481126652602205</v>
      </c>
      <c r="F62" s="44">
        <f t="shared" si="10"/>
        <v>0.45566666669765254</v>
      </c>
      <c r="G62" s="44">
        <f t="shared" si="11"/>
        <v>-2.1155555553074617E-2</v>
      </c>
      <c r="H62" s="44">
        <f t="shared" si="12"/>
        <v>43666.189844444452</v>
      </c>
      <c r="I62" s="47">
        <f t="shared" si="13"/>
        <v>0.47682222224830184</v>
      </c>
    </row>
    <row r="63" spans="1:9" ht="15.75" thickBot="1" x14ac:dyDescent="0.3">
      <c r="A63" s="39">
        <f t="shared" si="7"/>
        <v>8388608</v>
      </c>
      <c r="B63" s="48">
        <v>9.5000000000000001E-7</v>
      </c>
      <c r="C63" s="48">
        <v>43660.991999999998</v>
      </c>
      <c r="D63" s="48">
        <f t="shared" si="8"/>
        <v>8.0298402260595952E-2</v>
      </c>
      <c r="E63" s="48">
        <f t="shared" si="9"/>
        <v>1.000119534617995</v>
      </c>
      <c r="F63" s="48">
        <f t="shared" si="10"/>
        <v>5.674666666702251</v>
      </c>
      <c r="G63" s="48">
        <f t="shared" si="11"/>
        <v>3.0377777779843504E-2</v>
      </c>
      <c r="H63" s="48">
        <f t="shared" si="12"/>
        <v>43661.022377777779</v>
      </c>
      <c r="I63" s="49">
        <f t="shared" si="13"/>
        <v>5.6442888889214373</v>
      </c>
    </row>
  </sheetData>
  <mergeCells count="8">
    <mergeCell ref="A36:I36"/>
    <mergeCell ref="A37:I37"/>
    <mergeCell ref="A1:I1"/>
    <mergeCell ref="A2:I2"/>
    <mergeCell ref="A3:I3"/>
    <mergeCell ref="A4:I4"/>
    <mergeCell ref="A34:I34"/>
    <mergeCell ref="A35:I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3491-649F-4A9D-A231-16000F44662D}">
  <dimension ref="A1:M108"/>
  <sheetViews>
    <sheetView topLeftCell="A86" zoomScaleNormal="100" workbookViewId="0">
      <selection activeCell="G80" sqref="G80"/>
    </sheetView>
  </sheetViews>
  <sheetFormatPr defaultRowHeight="15" x14ac:dyDescent="0.25"/>
  <cols>
    <col min="1" max="1" width="11.140625" bestFit="1" customWidth="1"/>
    <col min="2" max="2" width="24.140625" bestFit="1" customWidth="1"/>
    <col min="3" max="9" width="24.7109375" bestFit="1" customWidth="1"/>
    <col min="13" max="13" width="11.140625" bestFit="1" customWidth="1"/>
  </cols>
  <sheetData>
    <row r="1" spans="1:13" x14ac:dyDescent="0.25">
      <c r="A1" s="73" t="s">
        <v>49</v>
      </c>
      <c r="B1" s="74"/>
      <c r="C1" s="74"/>
      <c r="D1" s="74"/>
      <c r="E1" s="74"/>
      <c r="F1" s="74"/>
      <c r="G1" s="74"/>
      <c r="H1" s="74"/>
      <c r="I1" s="75"/>
      <c r="J1" s="26"/>
      <c r="K1" s="26"/>
      <c r="L1" s="26"/>
      <c r="M1" s="26"/>
    </row>
    <row r="2" spans="1:13" x14ac:dyDescent="0.25">
      <c r="A2" s="70" t="s">
        <v>37</v>
      </c>
      <c r="B2" s="71"/>
      <c r="C2" s="71"/>
      <c r="D2" s="71"/>
      <c r="E2" s="71"/>
      <c r="F2" s="71"/>
      <c r="G2" s="71"/>
      <c r="H2" s="71"/>
      <c r="I2" s="72"/>
      <c r="J2" s="26"/>
      <c r="K2" s="26"/>
      <c r="L2" s="26"/>
      <c r="M2" s="26"/>
    </row>
    <row r="3" spans="1:13" x14ac:dyDescent="0.25">
      <c r="A3" s="70" t="s">
        <v>43</v>
      </c>
      <c r="B3" s="71"/>
      <c r="C3" s="71"/>
      <c r="D3" s="71"/>
      <c r="E3" s="71"/>
      <c r="F3" s="71"/>
      <c r="G3" s="71"/>
      <c r="H3" s="71"/>
      <c r="I3" s="72"/>
      <c r="J3" s="26"/>
      <c r="K3" s="26" t="s">
        <v>38</v>
      </c>
      <c r="L3" s="26"/>
      <c r="M3" s="32">
        <v>-5.7126501655492996</v>
      </c>
    </row>
    <row r="4" spans="1:13" x14ac:dyDescent="0.25">
      <c r="A4" s="70" t="s">
        <v>51</v>
      </c>
      <c r="B4" s="71"/>
      <c r="C4" s="71"/>
      <c r="D4" s="71"/>
      <c r="E4" s="71"/>
      <c r="F4" s="71"/>
      <c r="G4" s="71"/>
      <c r="H4" s="71"/>
      <c r="I4" s="72"/>
      <c r="J4" s="26"/>
      <c r="K4" s="26"/>
      <c r="L4" s="26"/>
      <c r="M4" s="26"/>
    </row>
    <row r="5" spans="1:13" ht="120" x14ac:dyDescent="0.25">
      <c r="A5" s="35" t="s">
        <v>3</v>
      </c>
      <c r="B5" s="34" t="s">
        <v>32</v>
      </c>
      <c r="C5" s="34" t="s">
        <v>4</v>
      </c>
      <c r="D5" s="34" t="s">
        <v>11</v>
      </c>
      <c r="E5" s="34" t="s">
        <v>33</v>
      </c>
      <c r="F5" s="34" t="s">
        <v>5</v>
      </c>
      <c r="G5" s="34" t="s">
        <v>6</v>
      </c>
      <c r="H5" s="34" t="s">
        <v>7</v>
      </c>
      <c r="I5" s="36" t="s">
        <v>8</v>
      </c>
      <c r="J5" s="26"/>
      <c r="K5" s="26"/>
      <c r="L5" s="26"/>
      <c r="M5" s="26"/>
    </row>
    <row r="6" spans="1:13" x14ac:dyDescent="0.25">
      <c r="A6" s="37" t="s">
        <v>9</v>
      </c>
      <c r="B6" s="6" t="s">
        <v>34</v>
      </c>
      <c r="C6" s="6" t="s">
        <v>20</v>
      </c>
      <c r="D6" s="6" t="s">
        <v>21</v>
      </c>
      <c r="E6" s="6" t="s">
        <v>35</v>
      </c>
      <c r="F6" s="23" t="s">
        <v>22</v>
      </c>
      <c r="G6" s="23" t="s">
        <v>23</v>
      </c>
      <c r="H6" s="23" t="s">
        <v>24</v>
      </c>
      <c r="I6" s="7" t="s">
        <v>25</v>
      </c>
      <c r="J6" s="26"/>
      <c r="K6" s="26"/>
      <c r="L6" s="26"/>
      <c r="M6" s="26"/>
    </row>
    <row r="7" spans="1:13" x14ac:dyDescent="0.25">
      <c r="A7" s="40">
        <v>1</v>
      </c>
      <c r="B7" s="50">
        <v>13</v>
      </c>
      <c r="C7" s="50">
        <v>-42.608779271731201</v>
      </c>
      <c r="D7" s="51" t="s">
        <v>31</v>
      </c>
      <c r="E7" s="51" t="s">
        <v>31</v>
      </c>
      <c r="F7" s="50">
        <f t="shared" ref="F7:F34" si="0">$M$3-C7</f>
        <v>36.896129106181903</v>
      </c>
      <c r="G7" s="51" t="s">
        <v>31</v>
      </c>
      <c r="H7" s="51" t="s">
        <v>31</v>
      </c>
      <c r="I7" s="52" t="s">
        <v>31</v>
      </c>
      <c r="J7" s="26"/>
      <c r="K7" s="27"/>
      <c r="L7" s="26"/>
      <c r="M7" s="26"/>
    </row>
    <row r="8" spans="1:13" x14ac:dyDescent="0.25">
      <c r="A8" s="40">
        <f>A7*2</f>
        <v>2</v>
      </c>
      <c r="B8" s="50">
        <v>6.5</v>
      </c>
      <c r="C8" s="50">
        <v>40.755136058513003</v>
      </c>
      <c r="D8" s="50">
        <f>F7/F8</f>
        <v>-0.79401521149023602</v>
      </c>
      <c r="E8" s="50">
        <f>(C9-C7)/(C9-C8)</f>
        <v>-0.65670494712078187</v>
      </c>
      <c r="F8" s="50">
        <f t="shared" si="0"/>
        <v>-46.467786224062301</v>
      </c>
      <c r="G8" s="50">
        <f>F7/3</f>
        <v>12.298709702060634</v>
      </c>
      <c r="H8" s="50">
        <f>C8+G8</f>
        <v>53.053845760573637</v>
      </c>
      <c r="I8" s="53">
        <f t="shared" ref="I8:I34" si="1">$M$3-H8</f>
        <v>-58.766495926122936</v>
      </c>
      <c r="J8" s="26"/>
      <c r="K8" s="26"/>
      <c r="L8" s="26"/>
      <c r="M8" s="26"/>
    </row>
    <row r="9" spans="1:13" x14ac:dyDescent="0.25">
      <c r="A9" s="40">
        <f t="shared" ref="A9:A34" si="2">A8*2</f>
        <v>4</v>
      </c>
      <c r="B9" s="50">
        <v>3.25</v>
      </c>
      <c r="C9" s="50">
        <v>-9.5639720452708907</v>
      </c>
      <c r="D9" s="50">
        <f t="shared" ref="D9:D30" si="3">F8/F9</f>
        <v>-12.065412259808681</v>
      </c>
      <c r="E9" s="50">
        <f t="shared" ref="E9:E30" si="4">(C10-C8)/(C10-C9)</f>
        <v>-15.066917108378366</v>
      </c>
      <c r="F9" s="50">
        <f t="shared" si="0"/>
        <v>3.8513218797215911</v>
      </c>
      <c r="G9" s="50">
        <f t="shared" ref="G9:G30" si="5">F8/3</f>
        <v>-15.489262074687433</v>
      </c>
      <c r="H9" s="50">
        <f t="shared" ref="H9:H30" si="6">C9+G9</f>
        <v>-25.053234119958326</v>
      </c>
      <c r="I9" s="53">
        <f t="shared" si="1"/>
        <v>19.340583954409027</v>
      </c>
      <c r="J9" s="26"/>
      <c r="K9" s="26"/>
      <c r="L9" s="26"/>
      <c r="M9" s="26"/>
    </row>
    <row r="10" spans="1:13" x14ac:dyDescent="0.25">
      <c r="A10" s="40">
        <f t="shared" si="2"/>
        <v>8</v>
      </c>
      <c r="B10" s="50">
        <v>1.625</v>
      </c>
      <c r="C10" s="50">
        <v>-6.4321261681583399</v>
      </c>
      <c r="D10" s="50">
        <f t="shared" si="3"/>
        <v>5.3529539077822177</v>
      </c>
      <c r="E10" s="50">
        <f t="shared" si="4"/>
        <v>6.6877406065618459</v>
      </c>
      <c r="F10" s="50">
        <f t="shared" si="0"/>
        <v>0.71947600260904032</v>
      </c>
      <c r="G10" s="50">
        <f t="shared" si="5"/>
        <v>1.2837739599071971</v>
      </c>
      <c r="H10" s="50">
        <f t="shared" si="6"/>
        <v>-5.1483522082511426</v>
      </c>
      <c r="I10" s="53">
        <f t="shared" si="1"/>
        <v>-0.56429795729815702</v>
      </c>
      <c r="J10" s="26"/>
      <c r="K10" s="26"/>
      <c r="L10" s="26"/>
      <c r="M10" s="26"/>
    </row>
    <row r="11" spans="1:13" x14ac:dyDescent="0.25">
      <c r="A11" s="40">
        <f t="shared" si="2"/>
        <v>16</v>
      </c>
      <c r="B11" s="50">
        <v>0.8125</v>
      </c>
      <c r="C11" s="50">
        <v>-5.8814952421453999</v>
      </c>
      <c r="D11" s="50">
        <f t="shared" si="3"/>
        <v>4.261160687143529</v>
      </c>
      <c r="E11" s="50">
        <f t="shared" si="4"/>
        <v>5.3262876498259244</v>
      </c>
      <c r="F11" s="50">
        <f t="shared" si="0"/>
        <v>0.16884507659610026</v>
      </c>
      <c r="G11" s="50">
        <f t="shared" si="5"/>
        <v>0.23982533420301344</v>
      </c>
      <c r="H11" s="50">
        <f t="shared" si="6"/>
        <v>-5.6416699079423864</v>
      </c>
      <c r="I11" s="53">
        <f t="shared" si="1"/>
        <v>-7.0980257606913177E-2</v>
      </c>
      <c r="J11" s="26"/>
      <c r="K11" s="26"/>
      <c r="L11" s="26"/>
      <c r="M11" s="26"/>
    </row>
    <row r="12" spans="1:13" x14ac:dyDescent="0.25">
      <c r="A12" s="40">
        <f t="shared" si="2"/>
        <v>32</v>
      </c>
      <c r="B12" s="50">
        <v>0.40625</v>
      </c>
      <c r="C12" s="50">
        <v>-5.7542196260556802</v>
      </c>
      <c r="D12" s="50">
        <f t="shared" si="3"/>
        <v>4.0617577072039222</v>
      </c>
      <c r="E12" s="50">
        <f t="shared" si="4"/>
        <v>5.0771875311920915</v>
      </c>
      <c r="F12" s="50">
        <f t="shared" si="0"/>
        <v>4.1569460506380551E-2</v>
      </c>
      <c r="G12" s="50">
        <f t="shared" si="5"/>
        <v>5.6281692198700085E-2</v>
      </c>
      <c r="H12" s="50">
        <f t="shared" si="6"/>
        <v>-5.6979379338569798</v>
      </c>
      <c r="I12" s="53">
        <f t="shared" si="1"/>
        <v>-1.4712231692319833E-2</v>
      </c>
      <c r="J12" s="26"/>
      <c r="K12" s="26"/>
      <c r="L12" s="26"/>
      <c r="M12" s="26"/>
    </row>
    <row r="13" spans="1:13" x14ac:dyDescent="0.25">
      <c r="A13" s="40">
        <f t="shared" si="2"/>
        <v>64</v>
      </c>
      <c r="B13" s="50">
        <v>0.203125</v>
      </c>
      <c r="C13" s="50">
        <v>-5.7230031036082796</v>
      </c>
      <c r="D13" s="50">
        <f t="shared" si="3"/>
        <v>4.0152331898019904</v>
      </c>
      <c r="E13" s="50">
        <f t="shared" si="4"/>
        <v>5.0190408957919272</v>
      </c>
      <c r="F13" s="50">
        <f t="shared" si="0"/>
        <v>1.0352938058979966E-2</v>
      </c>
      <c r="G13" s="50">
        <f t="shared" si="5"/>
        <v>1.3856486835460183E-2</v>
      </c>
      <c r="H13" s="50">
        <f t="shared" si="6"/>
        <v>-5.7091466167728191</v>
      </c>
      <c r="I13" s="53">
        <f t="shared" si="1"/>
        <v>-3.503548776480514E-3</v>
      </c>
      <c r="J13" s="26"/>
      <c r="K13" s="26"/>
      <c r="L13" s="26"/>
      <c r="M13" s="26"/>
    </row>
    <row r="14" spans="1:13" x14ac:dyDescent="0.25">
      <c r="A14" s="40">
        <f t="shared" si="2"/>
        <v>128</v>
      </c>
      <c r="B14" s="50">
        <v>0.1015625</v>
      </c>
      <c r="C14" s="50">
        <v>-5.7152359464041602</v>
      </c>
      <c r="D14" s="50">
        <f t="shared" si="3"/>
        <v>4.0037956192300994</v>
      </c>
      <c r="E14" s="50">
        <f t="shared" si="4"/>
        <v>5.004744487213828</v>
      </c>
      <c r="F14" s="50">
        <f t="shared" si="0"/>
        <v>2.5857808548606087E-3</v>
      </c>
      <c r="G14" s="50">
        <f t="shared" si="5"/>
        <v>3.4509793529933219E-3</v>
      </c>
      <c r="H14" s="50">
        <f t="shared" si="6"/>
        <v>-5.7117849670511669</v>
      </c>
      <c r="I14" s="53">
        <f t="shared" si="1"/>
        <v>-8.6519849813271321E-4</v>
      </c>
      <c r="J14" s="26"/>
      <c r="K14" s="26"/>
      <c r="L14" s="26"/>
      <c r="M14" s="26"/>
    </row>
    <row r="15" spans="1:13" x14ac:dyDescent="0.25">
      <c r="A15" s="40">
        <f t="shared" si="2"/>
        <v>256</v>
      </c>
      <c r="B15" s="50">
        <v>5.078125E-2</v>
      </c>
      <c r="C15" s="50">
        <v>-5.7132964575731204</v>
      </c>
      <c r="D15" s="50">
        <f t="shared" si="3"/>
        <v>4.000948115642335</v>
      </c>
      <c r="E15" s="50">
        <f t="shared" si="4"/>
        <v>5.0011851423042213</v>
      </c>
      <c r="F15" s="50">
        <f t="shared" si="0"/>
        <v>6.4629202382082696E-4</v>
      </c>
      <c r="G15" s="50">
        <f t="shared" si="5"/>
        <v>8.6192695162020294E-4</v>
      </c>
      <c r="H15" s="50">
        <f t="shared" si="6"/>
        <v>-5.7124345306215005</v>
      </c>
      <c r="I15" s="53">
        <f t="shared" si="1"/>
        <v>-2.1563492779907989E-4</v>
      </c>
      <c r="J15" s="26"/>
      <c r="K15" s="26"/>
      <c r="L15" s="26"/>
      <c r="M15" s="26"/>
    </row>
    <row r="16" spans="1:13" x14ac:dyDescent="0.25">
      <c r="A16" s="40">
        <f t="shared" si="2"/>
        <v>512</v>
      </c>
      <c r="B16" s="50">
        <v>2.5390625E-2</v>
      </c>
      <c r="C16" s="50">
        <v>-5.7128117289834499</v>
      </c>
      <c r="D16" s="50">
        <f t="shared" si="3"/>
        <v>4.0002369794862203</v>
      </c>
      <c r="E16" s="50">
        <f t="shared" si="4"/>
        <v>5.0002962238963553</v>
      </c>
      <c r="F16" s="50">
        <f t="shared" si="0"/>
        <v>1.615634341503025E-4</v>
      </c>
      <c r="G16" s="50">
        <f t="shared" si="5"/>
        <v>2.1543067460694232E-4</v>
      </c>
      <c r="H16" s="50">
        <f t="shared" si="6"/>
        <v>-5.712596298308843</v>
      </c>
      <c r="I16" s="53">
        <f t="shared" si="1"/>
        <v>-5.386724045663982E-5</v>
      </c>
      <c r="J16" s="26"/>
      <c r="K16" s="26"/>
      <c r="L16" s="26"/>
      <c r="M16" s="26"/>
    </row>
    <row r="17" spans="1:13" x14ac:dyDescent="0.25">
      <c r="A17" s="40">
        <f t="shared" si="2"/>
        <v>1024</v>
      </c>
      <c r="B17" s="50">
        <v>1.26953125E-2</v>
      </c>
      <c r="C17" s="50">
        <v>-5.7126905558096297</v>
      </c>
      <c r="D17" s="50">
        <f t="shared" si="3"/>
        <v>4.0000592427460147</v>
      </c>
      <c r="E17" s="50">
        <f t="shared" si="4"/>
        <v>5.0000740540869568</v>
      </c>
      <c r="F17" s="50">
        <f t="shared" si="0"/>
        <v>4.0390260330092076E-5</v>
      </c>
      <c r="G17" s="50">
        <f t="shared" si="5"/>
        <v>5.3854478050100831E-5</v>
      </c>
      <c r="H17" s="50">
        <f t="shared" si="6"/>
        <v>-5.7126367013315793</v>
      </c>
      <c r="I17" s="53">
        <f t="shared" si="1"/>
        <v>-1.3464217720304816E-5</v>
      </c>
      <c r="J17" s="26"/>
      <c r="K17" s="26"/>
      <c r="L17" s="26"/>
      <c r="M17" s="26"/>
    </row>
    <row r="18" spans="1:13" x14ac:dyDescent="0.25">
      <c r="A18" s="40">
        <f t="shared" si="2"/>
        <v>2048</v>
      </c>
      <c r="B18" s="50">
        <v>6.34765625E-3</v>
      </c>
      <c r="C18" s="50">
        <v>-5.7126602630769998</v>
      </c>
      <c r="D18" s="50">
        <f t="shared" si="3"/>
        <v>4.0000148085038525</v>
      </c>
      <c r="E18" s="50">
        <f t="shared" si="4"/>
        <v>5.0000185060721556</v>
      </c>
      <c r="F18" s="50">
        <f t="shared" si="0"/>
        <v>1.0097527700203557E-5</v>
      </c>
      <c r="G18" s="50">
        <f t="shared" si="5"/>
        <v>1.3463420110030691E-5</v>
      </c>
      <c r="H18" s="50">
        <f t="shared" si="6"/>
        <v>-5.7126467996568895</v>
      </c>
      <c r="I18" s="53">
        <f t="shared" si="1"/>
        <v>-3.3658924101231946E-6</v>
      </c>
      <c r="J18" s="26"/>
      <c r="K18" s="26"/>
      <c r="L18" s="26"/>
      <c r="M18" s="26"/>
    </row>
    <row r="19" spans="1:13" x14ac:dyDescent="0.25">
      <c r="A19" s="40">
        <f t="shared" si="2"/>
        <v>4096</v>
      </c>
      <c r="B19" s="50">
        <v>3.173828125E-3</v>
      </c>
      <c r="C19" s="50">
        <v>-5.7126526899288796</v>
      </c>
      <c r="D19" s="50">
        <f t="shared" si="3"/>
        <v>4.0000037157852031</v>
      </c>
      <c r="E19" s="50">
        <f t="shared" si="4"/>
        <v>5.0000046269338707</v>
      </c>
      <c r="F19" s="50">
        <f t="shared" si="0"/>
        <v>2.5243795800378166E-6</v>
      </c>
      <c r="G19" s="50">
        <f t="shared" si="5"/>
        <v>3.3658425667345191E-6</v>
      </c>
      <c r="H19" s="50">
        <f t="shared" si="6"/>
        <v>-5.7126493240863132</v>
      </c>
      <c r="I19" s="53">
        <f t="shared" si="1"/>
        <v>-8.4146298640064288E-7</v>
      </c>
      <c r="J19" s="26"/>
      <c r="K19" s="26"/>
      <c r="L19" s="26"/>
      <c r="M19" s="26"/>
    </row>
    <row r="20" spans="1:13" x14ac:dyDescent="0.25">
      <c r="A20" s="40">
        <f t="shared" si="2"/>
        <v>8192</v>
      </c>
      <c r="B20" s="50">
        <v>1.5869140625E-3</v>
      </c>
      <c r="C20" s="50">
        <v>-5.7126507966440396</v>
      </c>
      <c r="D20" s="50">
        <f t="shared" si="3"/>
        <v>4.0000009823383049</v>
      </c>
      <c r="E20" s="50">
        <f t="shared" si="4"/>
        <v>5.0000013529435057</v>
      </c>
      <c r="F20" s="50">
        <f t="shared" si="0"/>
        <v>6.3109474002231991E-7</v>
      </c>
      <c r="G20" s="50">
        <f t="shared" si="5"/>
        <v>8.4145986001260553E-7</v>
      </c>
      <c r="H20" s="50">
        <f t="shared" si="6"/>
        <v>-5.7126499551841796</v>
      </c>
      <c r="I20" s="53">
        <f t="shared" si="1"/>
        <v>-2.1036511999028562E-7</v>
      </c>
      <c r="J20" s="26"/>
      <c r="K20" s="26"/>
      <c r="L20" s="26"/>
      <c r="M20" s="26"/>
    </row>
    <row r="21" spans="1:13" x14ac:dyDescent="0.25">
      <c r="A21" s="40">
        <f t="shared" si="2"/>
        <v>16384</v>
      </c>
      <c r="B21" s="50">
        <v>7.9345703125E-4</v>
      </c>
      <c r="C21" s="50">
        <v>-5.7126503233229897</v>
      </c>
      <c r="D21" s="50">
        <f t="shared" si="3"/>
        <v>3.9999998705227493</v>
      </c>
      <c r="E21" s="50">
        <f t="shared" si="4"/>
        <v>4.9999987540163549</v>
      </c>
      <c r="F21" s="50">
        <f t="shared" si="0"/>
        <v>1.5777369011260589E-7</v>
      </c>
      <c r="G21" s="50">
        <f t="shared" si="5"/>
        <v>2.1036491334077331E-7</v>
      </c>
      <c r="H21" s="50">
        <f t="shared" si="6"/>
        <v>-5.7126501129580767</v>
      </c>
      <c r="I21" s="53">
        <f t="shared" si="1"/>
        <v>-5.2591222932107939E-8</v>
      </c>
      <c r="J21" s="26"/>
      <c r="K21" s="26"/>
      <c r="L21" s="26"/>
      <c r="M21" s="26"/>
    </row>
    <row r="22" spans="1:13" x14ac:dyDescent="0.25">
      <c r="A22" s="40">
        <f t="shared" si="2"/>
        <v>32768</v>
      </c>
      <c r="B22" s="50">
        <v>3.96728515625E-4</v>
      </c>
      <c r="C22" s="50">
        <v>-5.7126502049926904</v>
      </c>
      <c r="D22" s="50">
        <f t="shared" si="3"/>
        <v>4.0000032200455262</v>
      </c>
      <c r="E22" s="50">
        <f t="shared" si="4"/>
        <v>5.0000060347732642</v>
      </c>
      <c r="F22" s="50">
        <f t="shared" si="0"/>
        <v>3.9443390775772968E-8</v>
      </c>
      <c r="G22" s="50">
        <f t="shared" si="5"/>
        <v>5.2591230037535297E-8</v>
      </c>
      <c r="H22" s="50">
        <f t="shared" si="6"/>
        <v>-5.7126501524014603</v>
      </c>
      <c r="I22" s="53">
        <f t="shared" si="1"/>
        <v>-1.3147839261762329E-8</v>
      </c>
      <c r="J22" s="26"/>
      <c r="K22" s="26"/>
      <c r="L22" s="26"/>
      <c r="M22" s="26"/>
    </row>
    <row r="23" spans="1:13" x14ac:dyDescent="0.25">
      <c r="A23" s="40">
        <f t="shared" si="2"/>
        <v>65536</v>
      </c>
      <c r="B23" s="50">
        <v>1.983642578125E-4</v>
      </c>
      <c r="C23" s="50">
        <v>-5.7126501754101602</v>
      </c>
      <c r="D23" s="50">
        <f t="shared" si="3"/>
        <v>3.9999947758770178</v>
      </c>
      <c r="E23" s="50">
        <f t="shared" si="4"/>
        <v>4.9999687755462565</v>
      </c>
      <c r="F23" s="50">
        <f t="shared" si="0"/>
        <v>9.8608605725303278E-9</v>
      </c>
      <c r="G23" s="50">
        <f t="shared" si="5"/>
        <v>1.3147796925257657E-8</v>
      </c>
      <c r="H23" s="50">
        <f t="shared" si="6"/>
        <v>-5.7126501622623636</v>
      </c>
      <c r="I23" s="53">
        <f t="shared" si="1"/>
        <v>-3.2869360566678552E-9</v>
      </c>
      <c r="J23" s="26"/>
      <c r="K23" s="26"/>
      <c r="L23" s="26"/>
      <c r="M23" s="26"/>
    </row>
    <row r="24" spans="1:13" x14ac:dyDescent="0.25">
      <c r="A24" s="40">
        <f t="shared" si="2"/>
        <v>131072</v>
      </c>
      <c r="B24" s="50">
        <v>9.918212890625E-5</v>
      </c>
      <c r="C24" s="50">
        <v>-5.7126501680144699</v>
      </c>
      <c r="D24" s="50">
        <f t="shared" si="3"/>
        <v>4.000072778761572</v>
      </c>
      <c r="E24" s="50">
        <f t="shared" si="4"/>
        <v>5.0000917539610326</v>
      </c>
      <c r="F24" s="50">
        <f t="shared" si="0"/>
        <v>2.4651702901223871E-9</v>
      </c>
      <c r="G24" s="50">
        <f t="shared" si="5"/>
        <v>3.2869535241767758E-9</v>
      </c>
      <c r="H24" s="50">
        <f t="shared" si="6"/>
        <v>-5.7126501647275161</v>
      </c>
      <c r="I24" s="53">
        <f t="shared" si="1"/>
        <v>-8.2178353011386207E-10</v>
      </c>
      <c r="J24" s="26"/>
      <c r="K24" s="26"/>
      <c r="L24" s="26"/>
      <c r="M24" s="26"/>
    </row>
    <row r="25" spans="1:13" x14ac:dyDescent="0.25">
      <c r="A25" s="40">
        <f t="shared" si="2"/>
        <v>262144</v>
      </c>
      <c r="B25" s="50">
        <v>4.9591064453125E-5</v>
      </c>
      <c r="C25" s="50">
        <v>-5.7126501661655897</v>
      </c>
      <c r="D25" s="50">
        <f t="shared" si="3"/>
        <v>4.0000158528623784</v>
      </c>
      <c r="E25" s="50">
        <f t="shared" si="4"/>
        <v>4.9987897904416494</v>
      </c>
      <c r="F25" s="50">
        <f t="shared" si="0"/>
        <v>6.162901300399426E-10</v>
      </c>
      <c r="G25" s="50">
        <f t="shared" si="5"/>
        <v>8.2172343004079573E-10</v>
      </c>
      <c r="H25" s="50">
        <f t="shared" si="6"/>
        <v>-5.7126501653438666</v>
      </c>
      <c r="I25" s="53">
        <f t="shared" si="1"/>
        <v>-2.0543300394137987E-10</v>
      </c>
      <c r="J25" s="26"/>
      <c r="K25" s="26"/>
      <c r="L25" s="26"/>
      <c r="M25" s="26"/>
    </row>
    <row r="26" spans="1:13" x14ac:dyDescent="0.25">
      <c r="A26" s="40">
        <f t="shared" si="2"/>
        <v>524288</v>
      </c>
      <c r="B26" s="50">
        <v>2.47955322265625E-5</v>
      </c>
      <c r="C26" s="50">
        <v>-5.7126501657032298</v>
      </c>
      <c r="D26" s="50">
        <f t="shared" si="3"/>
        <v>4.0036985748081468</v>
      </c>
      <c r="E26" s="50">
        <f t="shared" si="4"/>
        <v>5.0156360887407816</v>
      </c>
      <c r="F26" s="50">
        <f t="shared" si="0"/>
        <v>1.539302019182287E-10</v>
      </c>
      <c r="G26" s="50">
        <f t="shared" si="5"/>
        <v>2.0543004334664752E-10</v>
      </c>
      <c r="H26" s="50">
        <f t="shared" si="6"/>
        <v>-5.7126501654977995</v>
      </c>
      <c r="I26" s="53">
        <f t="shared" si="1"/>
        <v>-5.1500137487892061E-11</v>
      </c>
      <c r="J26" s="26"/>
      <c r="K26" s="26"/>
      <c r="L26" s="26"/>
      <c r="M26" s="26"/>
    </row>
    <row r="27" spans="1:13" x14ac:dyDescent="0.25">
      <c r="A27" s="40">
        <f t="shared" si="2"/>
        <v>1048576</v>
      </c>
      <c r="B27" s="50">
        <v>1.2397766113281301E-5</v>
      </c>
      <c r="C27" s="50">
        <v>-5.7126501655880899</v>
      </c>
      <c r="D27" s="50">
        <f t="shared" si="3"/>
        <v>3.9682648715482896</v>
      </c>
      <c r="E27" s="50">
        <f t="shared" si="4"/>
        <v>4.9472626514828573</v>
      </c>
      <c r="F27" s="50">
        <f t="shared" si="0"/>
        <v>3.8790304301983269E-11</v>
      </c>
      <c r="G27" s="50">
        <f t="shared" si="5"/>
        <v>5.1310067306076235E-11</v>
      </c>
      <c r="H27" s="50">
        <f t="shared" si="6"/>
        <v>-5.7126501655367798</v>
      </c>
      <c r="I27" s="53">
        <f t="shared" si="1"/>
        <v>-1.2519763004092965E-11</v>
      </c>
      <c r="J27" s="26"/>
      <c r="K27" s="26"/>
      <c r="L27" s="26"/>
      <c r="M27" s="26"/>
    </row>
    <row r="28" spans="1:13" x14ac:dyDescent="0.25">
      <c r="A28" s="40">
        <f t="shared" si="2"/>
        <v>2097152</v>
      </c>
      <c r="B28" s="50">
        <v>6.1988830566406301E-6</v>
      </c>
      <c r="C28" s="50">
        <v>-5.7126501655589204</v>
      </c>
      <c r="D28" s="50">
        <f t="shared" si="3"/>
        <v>4.0319423929098965</v>
      </c>
      <c r="E28" s="50">
        <f t="shared" si="4"/>
        <v>5.0178615121115735</v>
      </c>
      <c r="F28" s="50">
        <f t="shared" si="0"/>
        <v>9.6207486421917565E-12</v>
      </c>
      <c r="G28" s="50">
        <f t="shared" si="5"/>
        <v>1.2930101433994423E-11</v>
      </c>
      <c r="H28" s="50">
        <f t="shared" si="6"/>
        <v>-5.7126501655459903</v>
      </c>
      <c r="I28" s="53">
        <f t="shared" si="1"/>
        <v>-3.3093527918026666E-12</v>
      </c>
      <c r="J28" s="26"/>
      <c r="K28" s="26"/>
      <c r="L28" s="26"/>
      <c r="M28" s="26"/>
    </row>
    <row r="29" spans="1:13" x14ac:dyDescent="0.25">
      <c r="A29" s="40">
        <f t="shared" si="2"/>
        <v>4194304</v>
      </c>
      <c r="B29" s="50">
        <v>3.09944152832031E-6</v>
      </c>
      <c r="C29" s="50">
        <v>-5.7126501655516604</v>
      </c>
      <c r="D29" s="50">
        <f t="shared" si="3"/>
        <v>4.0752445447705039</v>
      </c>
      <c r="E29" s="50">
        <f t="shared" si="4"/>
        <v>4.1694455215199691</v>
      </c>
      <c r="F29" s="50">
        <f t="shared" si="0"/>
        <v>2.3607782395629329E-12</v>
      </c>
      <c r="G29" s="50">
        <f t="shared" si="5"/>
        <v>3.2069162140639187E-12</v>
      </c>
      <c r="H29" s="50">
        <f t="shared" si="6"/>
        <v>-5.7126501655484532</v>
      </c>
      <c r="I29" s="53">
        <f t="shared" si="1"/>
        <v>-8.4643403397421935E-13</v>
      </c>
      <c r="J29" s="26"/>
      <c r="K29" s="26"/>
      <c r="L29" s="26"/>
      <c r="M29" s="26"/>
    </row>
    <row r="30" spans="1:13" x14ac:dyDescent="0.25">
      <c r="A30" s="40">
        <f t="shared" si="2"/>
        <v>8388608</v>
      </c>
      <c r="B30" s="50">
        <v>1.5497207641601601E-6</v>
      </c>
      <c r="C30" s="50">
        <v>-5.7126501655493698</v>
      </c>
      <c r="D30" s="50">
        <f t="shared" si="3"/>
        <v>33.645569620253163</v>
      </c>
      <c r="E30" s="50">
        <f t="shared" si="4"/>
        <v>2.647923322683706</v>
      </c>
      <c r="F30" s="50">
        <f t="shared" si="0"/>
        <v>7.0166095156309893E-14</v>
      </c>
      <c r="G30" s="50">
        <f t="shared" si="5"/>
        <v>7.8692607985431096E-13</v>
      </c>
      <c r="H30" s="50">
        <f t="shared" si="6"/>
        <v>-5.7126501655485828</v>
      </c>
      <c r="I30" s="53">
        <f t="shared" si="1"/>
        <v>-7.1675998469800106E-13</v>
      </c>
      <c r="J30" s="26"/>
      <c r="K30" s="26"/>
      <c r="L30" s="26"/>
      <c r="M30" s="26"/>
    </row>
    <row r="31" spans="1:13" x14ac:dyDescent="0.25">
      <c r="A31" s="40">
        <f t="shared" si="2"/>
        <v>16777216</v>
      </c>
      <c r="B31" s="50">
        <v>7.7486038208007802E-7</v>
      </c>
      <c r="C31" s="50">
        <v>-5.7126501655479798</v>
      </c>
      <c r="D31" s="50">
        <f t="shared" ref="D31:D33" si="7">F30/F31</f>
        <v>-5.3162853297442803E-2</v>
      </c>
      <c r="E31" s="50">
        <f t="shared" ref="E31:E33" si="8">(C32-C30)/(C32-C31)</f>
        <v>-0.41757246376811596</v>
      </c>
      <c r="F31" s="50">
        <f t="shared" si="0"/>
        <v>-1.3198331316743861E-12</v>
      </c>
      <c r="G31" s="50">
        <f t="shared" ref="G31:G33" si="9">F30/3</f>
        <v>2.338869838543663E-14</v>
      </c>
      <c r="H31" s="50">
        <f t="shared" ref="H31:H33" si="10">C31+G31</f>
        <v>-5.7126501655479567</v>
      </c>
      <c r="I31" s="53">
        <f t="shared" si="1"/>
        <v>-1.3429257705865894E-12</v>
      </c>
      <c r="J31" s="26"/>
      <c r="K31" s="26"/>
      <c r="L31" s="26"/>
      <c r="M31" s="26"/>
    </row>
    <row r="32" spans="1:13" x14ac:dyDescent="0.25">
      <c r="A32" s="40">
        <f t="shared" si="2"/>
        <v>33554432</v>
      </c>
      <c r="B32" s="50">
        <v>3.8743019104003901E-7</v>
      </c>
      <c r="C32" s="50">
        <v>-5.7126501655489603</v>
      </c>
      <c r="D32" s="50">
        <f t="shared" si="7"/>
        <v>3.8900523560209423</v>
      </c>
      <c r="E32" s="50">
        <f t="shared" si="8"/>
        <v>0.64604039756332154</v>
      </c>
      <c r="F32" s="50">
        <f t="shared" si="0"/>
        <v>-3.3928415632544784E-13</v>
      </c>
      <c r="G32" s="50">
        <f t="shared" si="9"/>
        <v>-4.3994437722479535E-13</v>
      </c>
      <c r="H32" s="50">
        <f t="shared" si="10"/>
        <v>-5.7126501655494</v>
      </c>
      <c r="I32" s="53">
        <f t="shared" si="1"/>
        <v>1.0036416142611415E-13</v>
      </c>
      <c r="J32" s="26"/>
      <c r="K32" s="26"/>
      <c r="L32" s="26"/>
      <c r="M32" s="26"/>
    </row>
    <row r="33" spans="1:13" x14ac:dyDescent="0.25">
      <c r="A33" s="40">
        <f t="shared" si="2"/>
        <v>67108864</v>
      </c>
      <c r="B33" s="50">
        <v>1.9371509552002001E-7</v>
      </c>
      <c r="C33" s="50">
        <v>-5.7126501655461901</v>
      </c>
      <c r="D33" s="50">
        <f t="shared" si="7"/>
        <v>0.10911168237646386</v>
      </c>
      <c r="E33" s="50">
        <f t="shared" si="8"/>
        <v>0.12877094972067038</v>
      </c>
      <c r="F33" s="50">
        <f t="shared" si="0"/>
        <v>-3.1095126473701384E-12</v>
      </c>
      <c r="G33" s="50">
        <f t="shared" si="9"/>
        <v>-1.1309471877514928E-13</v>
      </c>
      <c r="H33" s="50">
        <f t="shared" si="10"/>
        <v>-5.7126501655463029</v>
      </c>
      <c r="I33" s="53">
        <f t="shared" si="1"/>
        <v>-2.9967139880682225E-12</v>
      </c>
      <c r="J33" s="26"/>
      <c r="K33" s="26"/>
      <c r="L33" s="26"/>
      <c r="M33" s="26"/>
    </row>
    <row r="34" spans="1:13" ht="15.75" thickBot="1" x14ac:dyDescent="0.3">
      <c r="A34" s="41">
        <f t="shared" si="2"/>
        <v>134217728</v>
      </c>
      <c r="B34" s="54">
        <v>9.6857547760009805E-8</v>
      </c>
      <c r="C34" s="54">
        <v>-5.7126501655493698</v>
      </c>
      <c r="D34" s="55">
        <f t="shared" ref="D34" si="11">F33/F34</f>
        <v>-44.316455696202532</v>
      </c>
      <c r="E34" s="55">
        <f t="shared" ref="E34" si="12">(C35-C33)/(C35-C34)</f>
        <v>0.99999999999944345</v>
      </c>
      <c r="F34" s="55">
        <f t="shared" si="0"/>
        <v>7.0166095156309893E-14</v>
      </c>
      <c r="G34" s="55">
        <f t="shared" ref="G34" si="13">F33/3</f>
        <v>-1.0365042157900461E-12</v>
      </c>
      <c r="H34" s="55">
        <f t="shared" ref="H34" si="14">C34+G34</f>
        <v>-5.7126501655504063</v>
      </c>
      <c r="I34" s="56">
        <f t="shared" si="1"/>
        <v>1.106670310946356E-12</v>
      </c>
      <c r="J34" s="26"/>
      <c r="K34" s="26"/>
      <c r="L34" s="26"/>
      <c r="M34" s="26"/>
    </row>
    <row r="35" spans="1:13" x14ac:dyDescent="0.25">
      <c r="A35" s="26"/>
      <c r="B35" s="31"/>
      <c r="C35" s="31"/>
      <c r="D35" s="31"/>
      <c r="E35" s="31"/>
      <c r="F35" s="31"/>
      <c r="G35" s="31"/>
      <c r="H35" s="31"/>
      <c r="I35" s="31"/>
      <c r="J35" s="26"/>
      <c r="K35" s="26"/>
      <c r="L35" s="26"/>
      <c r="M35" s="26"/>
    </row>
    <row r="36" spans="1:13" x14ac:dyDescent="0.25">
      <c r="A36" s="26"/>
      <c r="B36" s="31"/>
      <c r="C36" s="31"/>
      <c r="D36" s="31"/>
      <c r="E36" s="31"/>
      <c r="F36" s="31"/>
      <c r="G36" s="31"/>
      <c r="H36" s="31"/>
      <c r="I36" s="31"/>
      <c r="J36" s="26"/>
      <c r="K36" s="26"/>
      <c r="L36" s="26"/>
      <c r="M36" s="26"/>
    </row>
    <row r="37" spans="1:13" ht="15.75" thickBot="1" x14ac:dyDescent="0.3">
      <c r="A37" s="26"/>
      <c r="B37" s="31"/>
      <c r="C37" s="31"/>
      <c r="D37" s="31"/>
      <c r="E37" s="31"/>
      <c r="F37" s="31"/>
      <c r="G37" s="31"/>
      <c r="H37" s="31"/>
      <c r="I37" s="31"/>
      <c r="J37" s="26"/>
      <c r="K37" s="26"/>
      <c r="L37" s="26"/>
      <c r="M37" s="26"/>
    </row>
    <row r="38" spans="1:13" x14ac:dyDescent="0.25">
      <c r="A38" s="73" t="s">
        <v>50</v>
      </c>
      <c r="B38" s="74"/>
      <c r="C38" s="74"/>
      <c r="D38" s="74"/>
      <c r="E38" s="74"/>
      <c r="F38" s="74"/>
      <c r="G38" s="74"/>
      <c r="H38" s="74"/>
      <c r="I38" s="75"/>
      <c r="J38" s="26"/>
      <c r="K38" s="26"/>
      <c r="L38" s="26"/>
      <c r="M38" s="26"/>
    </row>
    <row r="39" spans="1:13" x14ac:dyDescent="0.25">
      <c r="A39" s="70" t="s">
        <v>42</v>
      </c>
      <c r="B39" s="71"/>
      <c r="C39" s="71"/>
      <c r="D39" s="71"/>
      <c r="E39" s="71"/>
      <c r="F39" s="71"/>
      <c r="G39" s="71"/>
      <c r="H39" s="71"/>
      <c r="I39" s="72"/>
      <c r="J39" s="26"/>
      <c r="K39" s="26"/>
      <c r="L39" s="26"/>
      <c r="M39" s="26"/>
    </row>
    <row r="40" spans="1:13" x14ac:dyDescent="0.25">
      <c r="A40" s="70" t="s">
        <v>43</v>
      </c>
      <c r="B40" s="71"/>
      <c r="C40" s="71"/>
      <c r="D40" s="71"/>
      <c r="E40" s="71"/>
      <c r="F40" s="71"/>
      <c r="G40" s="71"/>
      <c r="H40" s="71"/>
      <c r="I40" s="72"/>
      <c r="J40" s="26"/>
      <c r="K40" s="26"/>
      <c r="L40" s="26"/>
      <c r="M40" s="26"/>
    </row>
    <row r="41" spans="1:13" x14ac:dyDescent="0.25">
      <c r="A41" s="70" t="s">
        <v>51</v>
      </c>
      <c r="B41" s="71"/>
      <c r="C41" s="71"/>
      <c r="D41" s="71"/>
      <c r="E41" s="71"/>
      <c r="F41" s="71"/>
      <c r="G41" s="71"/>
      <c r="H41" s="71"/>
      <c r="I41" s="72"/>
      <c r="J41" s="26"/>
      <c r="K41" s="26"/>
      <c r="L41" s="26"/>
      <c r="M41" s="26"/>
    </row>
    <row r="42" spans="1:13" ht="124.5" customHeight="1" x14ac:dyDescent="0.25">
      <c r="A42" s="35" t="s">
        <v>3</v>
      </c>
      <c r="B42" s="34" t="s">
        <v>32</v>
      </c>
      <c r="C42" s="34" t="s">
        <v>4</v>
      </c>
      <c r="D42" s="34" t="s">
        <v>11</v>
      </c>
      <c r="E42" s="34" t="s">
        <v>33</v>
      </c>
      <c r="F42" s="34" t="s">
        <v>5</v>
      </c>
      <c r="G42" s="34" t="s">
        <v>6</v>
      </c>
      <c r="H42" s="34" t="s">
        <v>7</v>
      </c>
      <c r="I42" s="36" t="s">
        <v>8</v>
      </c>
      <c r="J42" s="26"/>
      <c r="K42" s="26"/>
      <c r="L42" s="26"/>
      <c r="M42" s="26"/>
    </row>
    <row r="43" spans="1:13" x14ac:dyDescent="0.25">
      <c r="A43" s="37" t="s">
        <v>9</v>
      </c>
      <c r="B43" s="6" t="s">
        <v>34</v>
      </c>
      <c r="C43" s="6" t="s">
        <v>20</v>
      </c>
      <c r="D43" s="6" t="s">
        <v>21</v>
      </c>
      <c r="E43" s="6" t="s">
        <v>35</v>
      </c>
      <c r="F43" s="23" t="s">
        <v>22</v>
      </c>
      <c r="G43" s="30" t="s">
        <v>53</v>
      </c>
      <c r="H43" s="23" t="s">
        <v>24</v>
      </c>
      <c r="I43" s="7" t="s">
        <v>25</v>
      </c>
      <c r="J43" s="26"/>
      <c r="K43" s="26"/>
      <c r="L43" s="26"/>
      <c r="M43" s="26"/>
    </row>
    <row r="44" spans="1:13" x14ac:dyDescent="0.25">
      <c r="A44" s="40">
        <v>1</v>
      </c>
      <c r="B44" s="50">
        <v>13</v>
      </c>
      <c r="C44" s="50">
        <v>-40.1507847499077</v>
      </c>
      <c r="D44" s="51" t="s">
        <v>31</v>
      </c>
      <c r="E44" s="51" t="s">
        <v>31</v>
      </c>
      <c r="F44" s="50">
        <f t="shared" ref="F44:F71" si="15">$M$3-C44</f>
        <v>34.438134584358401</v>
      </c>
      <c r="G44" s="51" t="s">
        <v>31</v>
      </c>
      <c r="H44" s="51" t="s">
        <v>31</v>
      </c>
      <c r="I44" s="52" t="s">
        <v>31</v>
      </c>
      <c r="J44" s="26"/>
      <c r="K44" s="26"/>
      <c r="L44" s="26"/>
      <c r="M44" s="26"/>
    </row>
    <row r="45" spans="1:13" x14ac:dyDescent="0.25">
      <c r="A45" s="40">
        <f>A44*2</f>
        <v>2</v>
      </c>
      <c r="B45" s="50">
        <v>6.5</v>
      </c>
      <c r="C45" s="50">
        <v>14.1961615426767</v>
      </c>
      <c r="D45" s="50">
        <f>F44/F45</f>
        <v>-1.7297935752804934</v>
      </c>
      <c r="E45" s="50">
        <f>(C46-C44)/(C46-C45)</f>
        <v>-1.6816035754756138</v>
      </c>
      <c r="F45" s="50">
        <f t="shared" si="15"/>
        <v>-19.908811708226001</v>
      </c>
      <c r="G45" s="50">
        <f>F44/15</f>
        <v>2.2958756389572268</v>
      </c>
      <c r="H45" s="50">
        <f>C45+G45</f>
        <v>16.492037181633926</v>
      </c>
      <c r="I45" s="53">
        <f t="shared" ref="I45:I71" si="16">$M$3-H45</f>
        <v>-22.204687347183224</v>
      </c>
      <c r="J45" s="26"/>
      <c r="K45" s="26"/>
      <c r="L45" s="26"/>
      <c r="M45" s="26"/>
    </row>
    <row r="46" spans="1:13" x14ac:dyDescent="0.25">
      <c r="A46" s="40">
        <f t="shared" ref="A46:A71" si="17">A45*2</f>
        <v>4</v>
      </c>
      <c r="B46" s="50">
        <v>3.25</v>
      </c>
      <c r="C46" s="50">
        <v>-6.0704232685944204</v>
      </c>
      <c r="D46" s="50">
        <f t="shared" ref="D46:D71" si="18">F45/F46</f>
        <v>-55.646474088677337</v>
      </c>
      <c r="E46" s="50">
        <f t="shared" ref="E46:E71" si="19">(C47-C45)/(C47-C46)</f>
        <v>-58.411393973626964</v>
      </c>
      <c r="F46" s="50">
        <f t="shared" si="15"/>
        <v>0.35777310304512078</v>
      </c>
      <c r="G46" s="50">
        <f t="shared" ref="G46:G71" si="20">F45/15</f>
        <v>-1.3272541138817333</v>
      </c>
      <c r="H46" s="50">
        <f t="shared" ref="H46:H71" si="21">C46+G46</f>
        <v>-7.3976773824761537</v>
      </c>
      <c r="I46" s="53">
        <f t="shared" si="16"/>
        <v>1.6850272169268541</v>
      </c>
      <c r="J46" s="26"/>
      <c r="K46" s="26"/>
      <c r="L46" s="26"/>
      <c r="M46" s="26"/>
    </row>
    <row r="47" spans="1:13" x14ac:dyDescent="0.25">
      <c r="A47" s="40">
        <f t="shared" si="17"/>
        <v>8</v>
      </c>
      <c r="B47" s="50">
        <v>1.625</v>
      </c>
      <c r="C47" s="50">
        <v>-5.72930040552429</v>
      </c>
      <c r="D47" s="50">
        <f t="shared" si="18"/>
        <v>21.48756435838262</v>
      </c>
      <c r="E47" s="50">
        <f t="shared" si="19"/>
        <v>22.763053417846933</v>
      </c>
      <c r="F47" s="50">
        <f t="shared" si="15"/>
        <v>1.6650239974990377E-2</v>
      </c>
      <c r="G47" s="50">
        <f t="shared" si="20"/>
        <v>2.3851540203008052E-2</v>
      </c>
      <c r="H47" s="50">
        <f t="shared" si="21"/>
        <v>-5.7054488653212818</v>
      </c>
      <c r="I47" s="53">
        <f t="shared" si="16"/>
        <v>-7.2013002280177929E-3</v>
      </c>
      <c r="J47" s="26"/>
      <c r="K47" s="26"/>
      <c r="L47" s="26"/>
      <c r="M47" s="26"/>
    </row>
    <row r="48" spans="1:13" x14ac:dyDescent="0.25">
      <c r="A48" s="40">
        <f t="shared" si="17"/>
        <v>16</v>
      </c>
      <c r="B48" s="50">
        <v>0.8125</v>
      </c>
      <c r="C48" s="50">
        <v>-5.7136260028326902</v>
      </c>
      <c r="D48" s="50">
        <f t="shared" si="18"/>
        <v>17.062516731415254</v>
      </c>
      <c r="E48" s="50">
        <f t="shared" si="19"/>
        <v>18.115697240350936</v>
      </c>
      <c r="F48" s="50">
        <f t="shared" si="15"/>
        <v>9.7583728339056819E-4</v>
      </c>
      <c r="G48" s="50">
        <f t="shared" si="20"/>
        <v>1.1100159983326919E-3</v>
      </c>
      <c r="H48" s="50">
        <f t="shared" si="21"/>
        <v>-5.7125159868343571</v>
      </c>
      <c r="I48" s="53">
        <f t="shared" si="16"/>
        <v>-1.341787149424789E-4</v>
      </c>
      <c r="J48" s="26"/>
      <c r="K48" s="26"/>
      <c r="L48" s="26"/>
      <c r="M48" s="26"/>
    </row>
    <row r="49" spans="1:13" x14ac:dyDescent="0.25">
      <c r="A49" s="40">
        <f t="shared" si="17"/>
        <v>32</v>
      </c>
      <c r="B49" s="50">
        <v>0.40625</v>
      </c>
      <c r="C49" s="50">
        <v>-5.7127102117625697</v>
      </c>
      <c r="D49" s="50">
        <f t="shared" si="18"/>
        <v>16.251437521994784</v>
      </c>
      <c r="E49" s="50">
        <f t="shared" si="19"/>
        <v>17.264012644712832</v>
      </c>
      <c r="F49" s="50">
        <f t="shared" si="15"/>
        <v>6.0046213270048554E-5</v>
      </c>
      <c r="G49" s="50">
        <f t="shared" si="20"/>
        <v>6.5055818892704548E-5</v>
      </c>
      <c r="H49" s="50">
        <f t="shared" si="21"/>
        <v>-5.7126451559436768</v>
      </c>
      <c r="I49" s="53">
        <f t="shared" si="16"/>
        <v>-5.0096056227744157E-6</v>
      </c>
      <c r="J49" s="26"/>
      <c r="K49" s="26"/>
      <c r="L49" s="26"/>
      <c r="M49" s="26"/>
    </row>
    <row r="50" spans="1:13" x14ac:dyDescent="0.25">
      <c r="A50" s="40">
        <f t="shared" si="17"/>
        <v>64</v>
      </c>
      <c r="B50" s="50">
        <v>0.203125</v>
      </c>
      <c r="C50" s="50">
        <v>-5.7126539039441901</v>
      </c>
      <c r="D50" s="50">
        <f t="shared" si="18"/>
        <v>16.06203063833474</v>
      </c>
      <c r="E50" s="50">
        <f t="shared" si="19"/>
        <v>17.065132405823281</v>
      </c>
      <c r="F50" s="50">
        <f t="shared" si="15"/>
        <v>3.7383948905400644E-6</v>
      </c>
      <c r="G50" s="50">
        <f t="shared" si="20"/>
        <v>4.0030808846699035E-6</v>
      </c>
      <c r="H50" s="50">
        <f t="shared" si="21"/>
        <v>-5.7126499008633056</v>
      </c>
      <c r="I50" s="53">
        <f t="shared" si="16"/>
        <v>-2.6468599401141546E-7</v>
      </c>
      <c r="J50" s="26"/>
      <c r="K50" s="26"/>
      <c r="L50" s="26"/>
      <c r="M50" s="26"/>
    </row>
    <row r="51" spans="1:13" x14ac:dyDescent="0.25">
      <c r="A51" s="40">
        <f t="shared" si="17"/>
        <v>128</v>
      </c>
      <c r="B51" s="50">
        <v>0.1015625</v>
      </c>
      <c r="C51" s="50">
        <v>-5.7126503989734898</v>
      </c>
      <c r="D51" s="50">
        <f t="shared" si="18"/>
        <v>16.015456184515948</v>
      </c>
      <c r="E51" s="50">
        <f t="shared" si="19"/>
        <v>17.016229625936003</v>
      </c>
      <c r="F51" s="50">
        <f t="shared" si="15"/>
        <v>2.3342419019911631E-7</v>
      </c>
      <c r="G51" s="50">
        <f t="shared" si="20"/>
        <v>2.4922632603600428E-7</v>
      </c>
      <c r="H51" s="50">
        <f t="shared" si="21"/>
        <v>-5.712650149747164</v>
      </c>
      <c r="I51" s="53">
        <f t="shared" si="16"/>
        <v>-1.5802135600040401E-8</v>
      </c>
      <c r="J51" s="26"/>
      <c r="K51" s="26"/>
      <c r="L51" s="26"/>
      <c r="M51" s="26"/>
    </row>
    <row r="52" spans="1:13" x14ac:dyDescent="0.25">
      <c r="A52" s="40">
        <f t="shared" si="17"/>
        <v>256</v>
      </c>
      <c r="B52" s="50">
        <v>5.078125E-2</v>
      </c>
      <c r="C52" s="50">
        <v>-5.7126501801348004</v>
      </c>
      <c r="D52" s="50">
        <f t="shared" si="18"/>
        <v>16.003851584240326</v>
      </c>
      <c r="E52" s="50">
        <f t="shared" si="19"/>
        <v>17.004045594849043</v>
      </c>
      <c r="F52" s="50">
        <f t="shared" si="15"/>
        <v>1.4585500807129392E-8</v>
      </c>
      <c r="G52" s="50">
        <f t="shared" si="20"/>
        <v>1.5561612679941086E-8</v>
      </c>
      <c r="H52" s="50">
        <f t="shared" si="21"/>
        <v>-5.712650164573188</v>
      </c>
      <c r="I52" s="53">
        <f t="shared" si="16"/>
        <v>-9.7611163596411643E-10</v>
      </c>
      <c r="J52" s="26"/>
      <c r="K52" s="26"/>
      <c r="L52" s="26"/>
      <c r="M52" s="26"/>
    </row>
    <row r="53" spans="1:13" x14ac:dyDescent="0.25">
      <c r="A53" s="40">
        <f t="shared" si="17"/>
        <v>512</v>
      </c>
      <c r="B53" s="50">
        <v>2.5390625E-2</v>
      </c>
      <c r="C53" s="50">
        <v>-5.7126501664608398</v>
      </c>
      <c r="D53" s="50">
        <f t="shared" si="18"/>
        <v>16.000941242498559</v>
      </c>
      <c r="E53" s="50">
        <f t="shared" si="19"/>
        <v>17.00098840109753</v>
      </c>
      <c r="F53" s="50">
        <f t="shared" si="15"/>
        <v>9.1154017667349763E-10</v>
      </c>
      <c r="G53" s="50">
        <f t="shared" si="20"/>
        <v>9.7236672047529291E-10</v>
      </c>
      <c r="H53" s="50">
        <f t="shared" si="21"/>
        <v>-5.7126501654884727</v>
      </c>
      <c r="I53" s="53">
        <f t="shared" si="16"/>
        <v>-6.0826899073163077E-11</v>
      </c>
      <c r="J53" s="26"/>
      <c r="K53" s="26"/>
      <c r="L53" s="26"/>
      <c r="M53" s="26"/>
    </row>
    <row r="54" spans="1:13" x14ac:dyDescent="0.25">
      <c r="A54" s="40">
        <f t="shared" si="17"/>
        <v>1024</v>
      </c>
      <c r="B54" s="50">
        <v>1.26953125E-2</v>
      </c>
      <c r="C54" s="50">
        <v>-5.71265016560627</v>
      </c>
      <c r="D54" s="50">
        <f t="shared" si="18"/>
        <v>16.000233852485852</v>
      </c>
      <c r="E54" s="50">
        <f t="shared" si="19"/>
        <v>17.003193453420486</v>
      </c>
      <c r="F54" s="50">
        <f t="shared" si="15"/>
        <v>5.6970428374825133E-11</v>
      </c>
      <c r="G54" s="50">
        <f t="shared" si="20"/>
        <v>6.0769345111566506E-11</v>
      </c>
      <c r="H54" s="50">
        <f t="shared" si="21"/>
        <v>-5.7126501655455009</v>
      </c>
      <c r="I54" s="53">
        <f t="shared" si="16"/>
        <v>-3.7987391010574356E-12</v>
      </c>
      <c r="J54" s="26"/>
      <c r="K54" s="26"/>
      <c r="L54" s="26"/>
      <c r="M54" s="26"/>
    </row>
    <row r="55" spans="1:13" x14ac:dyDescent="0.25">
      <c r="A55" s="40">
        <f t="shared" si="17"/>
        <v>2048</v>
      </c>
      <c r="B55" s="50">
        <v>6.34765625E-3</v>
      </c>
      <c r="C55" s="50">
        <v>-5.7126501655528701</v>
      </c>
      <c r="D55" s="50">
        <f t="shared" si="18"/>
        <v>15.955970149253732</v>
      </c>
      <c r="E55" s="50">
        <f t="shared" si="19"/>
        <v>17.084269662921347</v>
      </c>
      <c r="F55" s="50">
        <f t="shared" si="15"/>
        <v>3.5704772471945034E-12</v>
      </c>
      <c r="G55" s="50">
        <f t="shared" si="20"/>
        <v>3.7980285583216754E-12</v>
      </c>
      <c r="H55" s="50">
        <f t="shared" si="21"/>
        <v>-5.7126501655490722</v>
      </c>
      <c r="I55" s="53">
        <f t="shared" si="16"/>
        <v>-2.2737367544323206E-13</v>
      </c>
      <c r="J55" s="26"/>
      <c r="K55" s="26"/>
      <c r="L55" s="26"/>
      <c r="M55" s="26"/>
    </row>
    <row r="56" spans="1:13" x14ac:dyDescent="0.25">
      <c r="A56" s="40">
        <f t="shared" si="17"/>
        <v>4096</v>
      </c>
      <c r="B56" s="50">
        <v>3.173828125E-3</v>
      </c>
      <c r="C56" s="50">
        <v>-5.7126501655495501</v>
      </c>
      <c r="D56" s="50">
        <f t="shared" si="18"/>
        <v>14.25531914893617</v>
      </c>
      <c r="E56" s="50">
        <f t="shared" si="19"/>
        <v>14.844444444444445</v>
      </c>
      <c r="F56" s="50">
        <f t="shared" si="15"/>
        <v>2.5046631435543532E-13</v>
      </c>
      <c r="G56" s="50">
        <f t="shared" si="20"/>
        <v>2.3803181647963356E-13</v>
      </c>
      <c r="H56" s="50">
        <f t="shared" si="21"/>
        <v>-5.712650165549312</v>
      </c>
      <c r="I56" s="53">
        <f t="shared" si="16"/>
        <v>1.2434497875801753E-14</v>
      </c>
      <c r="J56" s="26"/>
      <c r="K56" s="26"/>
      <c r="L56" s="26"/>
      <c r="M56" s="26"/>
    </row>
    <row r="57" spans="1:13" x14ac:dyDescent="0.25">
      <c r="A57" s="40">
        <f t="shared" si="17"/>
        <v>8192</v>
      </c>
      <c r="B57" s="50">
        <v>1.5869140625E-3</v>
      </c>
      <c r="C57" s="50">
        <v>-5.7126501655493103</v>
      </c>
      <c r="D57" s="50">
        <f t="shared" si="18"/>
        <v>23.5</v>
      </c>
      <c r="E57" s="50">
        <f t="shared" si="19"/>
        <v>-23.545454545454547</v>
      </c>
      <c r="F57" s="50">
        <f t="shared" si="15"/>
        <v>1.0658141036401503E-14</v>
      </c>
      <c r="G57" s="50">
        <f t="shared" si="20"/>
        <v>1.6697754290362355E-14</v>
      </c>
      <c r="H57" s="50">
        <f t="shared" si="21"/>
        <v>-5.7126501655492934</v>
      </c>
      <c r="I57" s="53">
        <f t="shared" si="16"/>
        <v>0</v>
      </c>
      <c r="J57" s="26"/>
      <c r="K57" s="26"/>
      <c r="L57" s="26"/>
      <c r="M57" s="26"/>
    </row>
    <row r="58" spans="1:13" x14ac:dyDescent="0.25">
      <c r="A58" s="40">
        <f t="shared" si="17"/>
        <v>16384</v>
      </c>
      <c r="B58" s="50">
        <v>7.9345703125E-4</v>
      </c>
      <c r="C58" s="50">
        <v>-5.71265016554932</v>
      </c>
      <c r="D58" s="50">
        <f t="shared" si="18"/>
        <v>0.52173913043478259</v>
      </c>
      <c r="E58" s="50">
        <f t="shared" si="19"/>
        <v>0.52173913043478259</v>
      </c>
      <c r="F58" s="50">
        <f t="shared" si="15"/>
        <v>2.042810365310288E-14</v>
      </c>
      <c r="G58" s="50">
        <f t="shared" si="20"/>
        <v>7.1054273576010023E-16</v>
      </c>
      <c r="H58" s="50">
        <f t="shared" si="21"/>
        <v>-5.7126501655493191</v>
      </c>
      <c r="I58" s="53">
        <f t="shared" si="16"/>
        <v>1.9539925233402755E-14</v>
      </c>
      <c r="J58" s="26"/>
      <c r="K58" s="26"/>
      <c r="L58" s="26"/>
      <c r="M58" s="26"/>
    </row>
    <row r="59" spans="1:13" x14ac:dyDescent="0.25">
      <c r="A59" s="40">
        <f t="shared" si="17"/>
        <v>32768</v>
      </c>
      <c r="B59" s="50">
        <v>3.96728515625E-4</v>
      </c>
      <c r="C59" s="50">
        <v>-5.7126501655492996</v>
      </c>
      <c r="D59" s="50" t="e">
        <f t="shared" si="18"/>
        <v>#DIV/0!</v>
      </c>
      <c r="E59" s="50">
        <f t="shared" si="19"/>
        <v>1.696969696969697</v>
      </c>
      <c r="F59" s="50">
        <f t="shared" si="15"/>
        <v>0</v>
      </c>
      <c r="G59" s="50">
        <f t="shared" si="20"/>
        <v>1.3618735768735254E-15</v>
      </c>
      <c r="H59" s="50">
        <f t="shared" si="21"/>
        <v>-5.7126501655492978</v>
      </c>
      <c r="I59" s="53">
        <f t="shared" si="16"/>
        <v>0</v>
      </c>
      <c r="J59" s="26"/>
      <c r="K59" s="26"/>
      <c r="L59" s="26"/>
      <c r="M59" s="26"/>
    </row>
    <row r="60" spans="1:13" x14ac:dyDescent="0.25">
      <c r="A60" s="40">
        <f t="shared" si="17"/>
        <v>65536</v>
      </c>
      <c r="B60" s="50">
        <v>1.983642578125E-4</v>
      </c>
      <c r="C60" s="50">
        <v>-5.7126501655492703</v>
      </c>
      <c r="D60" s="50">
        <f t="shared" si="18"/>
        <v>0</v>
      </c>
      <c r="E60" s="50">
        <f t="shared" si="19"/>
        <v>3.75</v>
      </c>
      <c r="F60" s="50">
        <f t="shared" si="15"/>
        <v>-2.9309887850104133E-14</v>
      </c>
      <c r="G60" s="50">
        <f t="shared" si="20"/>
        <v>0</v>
      </c>
      <c r="H60" s="50">
        <f t="shared" si="21"/>
        <v>-5.7126501655492703</v>
      </c>
      <c r="I60" s="53">
        <f t="shared" si="16"/>
        <v>-2.9309887850104133E-14</v>
      </c>
      <c r="J60" s="26"/>
      <c r="K60" s="26"/>
      <c r="L60" s="26"/>
      <c r="M60" s="26"/>
    </row>
    <row r="61" spans="1:13" x14ac:dyDescent="0.25">
      <c r="A61" s="40">
        <f t="shared" si="17"/>
        <v>131072</v>
      </c>
      <c r="B61" s="50">
        <v>9.918212890625E-5</v>
      </c>
      <c r="C61" s="50">
        <v>-5.7126501655492596</v>
      </c>
      <c r="D61" s="50">
        <f t="shared" si="18"/>
        <v>0.73333333333333328</v>
      </c>
      <c r="E61" s="50">
        <f t="shared" si="19"/>
        <v>0.93370165745856348</v>
      </c>
      <c r="F61" s="50">
        <f t="shared" si="15"/>
        <v>-3.9968028886505635E-14</v>
      </c>
      <c r="G61" s="50">
        <f t="shared" si="20"/>
        <v>-1.9539925233402757E-15</v>
      </c>
      <c r="H61" s="50">
        <f t="shared" si="21"/>
        <v>-5.7126501655492614</v>
      </c>
      <c r="I61" s="53">
        <f t="shared" si="16"/>
        <v>-3.8191672047105385E-14</v>
      </c>
      <c r="J61" s="26"/>
      <c r="K61" s="26"/>
      <c r="L61" s="26"/>
      <c r="M61" s="26"/>
    </row>
    <row r="62" spans="1:13" x14ac:dyDescent="0.25">
      <c r="A62" s="40">
        <f t="shared" si="17"/>
        <v>262144</v>
      </c>
      <c r="B62" s="50">
        <v>4.9591064453125E-5</v>
      </c>
      <c r="C62" s="50">
        <v>-5.7126501655494204</v>
      </c>
      <c r="D62" s="50">
        <f t="shared" si="18"/>
        <v>-0.33088235294117646</v>
      </c>
      <c r="E62" s="50">
        <f t="shared" si="19"/>
        <v>-0.14556962025316456</v>
      </c>
      <c r="F62" s="50">
        <f t="shared" si="15"/>
        <v>1.2079226507921703E-13</v>
      </c>
      <c r="G62" s="50">
        <f t="shared" si="20"/>
        <v>-2.6645352591003757E-15</v>
      </c>
      <c r="H62" s="50">
        <f t="shared" si="21"/>
        <v>-5.7126501655494231</v>
      </c>
      <c r="I62" s="53">
        <f t="shared" si="16"/>
        <v>1.2345680033831741E-13</v>
      </c>
      <c r="J62" s="26"/>
      <c r="K62" s="26"/>
      <c r="L62" s="26"/>
      <c r="M62" s="26"/>
    </row>
    <row r="63" spans="1:13" x14ac:dyDescent="0.25">
      <c r="A63" s="40">
        <f t="shared" si="17"/>
        <v>524288</v>
      </c>
      <c r="B63" s="50">
        <v>2.47955322265625E-5</v>
      </c>
      <c r="C63" s="50">
        <v>-5.7126501655492801</v>
      </c>
      <c r="D63" s="50">
        <f t="shared" si="18"/>
        <v>-6.1818181818181817</v>
      </c>
      <c r="E63" s="50">
        <f t="shared" si="19"/>
        <v>1.7783251231527093</v>
      </c>
      <c r="F63" s="50">
        <f t="shared" si="15"/>
        <v>-1.9539925233402755E-14</v>
      </c>
      <c r="G63" s="50">
        <f t="shared" si="20"/>
        <v>8.0528176719478019E-15</v>
      </c>
      <c r="H63" s="50">
        <f t="shared" si="21"/>
        <v>-5.7126501655492721</v>
      </c>
      <c r="I63" s="53">
        <f t="shared" si="16"/>
        <v>-2.7533531010703882E-14</v>
      </c>
      <c r="J63" s="26"/>
      <c r="K63" s="26"/>
      <c r="L63" s="26"/>
      <c r="M63" s="26"/>
    </row>
    <row r="64" spans="1:13" x14ac:dyDescent="0.25">
      <c r="A64" s="40">
        <f t="shared" si="17"/>
        <v>1048576</v>
      </c>
      <c r="B64" s="50">
        <v>1.2397766113281301E-5</v>
      </c>
      <c r="C64" s="50">
        <v>-5.7126501655490998</v>
      </c>
      <c r="D64" s="50">
        <f t="shared" si="18"/>
        <v>9.7777777777777783E-2</v>
      </c>
      <c r="E64" s="50">
        <f t="shared" si="19"/>
        <v>0</v>
      </c>
      <c r="F64" s="50">
        <f t="shared" si="15"/>
        <v>-1.9984014443252818E-13</v>
      </c>
      <c r="G64" s="50">
        <f t="shared" si="20"/>
        <v>-1.3026616822268502E-15</v>
      </c>
      <c r="H64" s="50">
        <f t="shared" si="21"/>
        <v>-5.7126501655491007</v>
      </c>
      <c r="I64" s="53">
        <f t="shared" si="16"/>
        <v>-1.9895196601282805E-13</v>
      </c>
      <c r="J64" s="26"/>
      <c r="K64" s="26"/>
      <c r="L64" s="26"/>
      <c r="M64" s="26"/>
    </row>
    <row r="65" spans="1:13" x14ac:dyDescent="0.25">
      <c r="A65" s="40">
        <f t="shared" si="17"/>
        <v>2097152</v>
      </c>
      <c r="B65" s="50">
        <v>6.1988830566406301E-6</v>
      </c>
      <c r="C65" s="50">
        <v>-5.7126501655492801</v>
      </c>
      <c r="D65" s="50">
        <f t="shared" si="18"/>
        <v>10.227272727272727</v>
      </c>
      <c r="E65" s="50">
        <f t="shared" si="19"/>
        <v>9.7777777777777783E-2</v>
      </c>
      <c r="F65" s="50">
        <f t="shared" si="15"/>
        <v>-1.9539925233402755E-14</v>
      </c>
      <c r="G65" s="50">
        <f t="shared" si="20"/>
        <v>-1.3322676295501878E-14</v>
      </c>
      <c r="H65" s="50">
        <f t="shared" si="21"/>
        <v>-5.7126501655492934</v>
      </c>
      <c r="I65" s="53">
        <f t="shared" si="16"/>
        <v>0</v>
      </c>
      <c r="J65" s="26"/>
      <c r="K65" s="26"/>
      <c r="L65" s="26"/>
      <c r="M65" s="26"/>
    </row>
    <row r="66" spans="1:13" x14ac:dyDescent="0.25">
      <c r="A66" s="40">
        <f t="shared" si="17"/>
        <v>4194304</v>
      </c>
      <c r="B66" s="50">
        <v>3.09944152832031E-6</v>
      </c>
      <c r="C66" s="50">
        <v>-5.7126501655490802</v>
      </c>
      <c r="D66" s="50">
        <f t="shared" si="18"/>
        <v>8.9068825910931168E-2</v>
      </c>
      <c r="E66" s="50">
        <f t="shared" si="19"/>
        <v>1.6880733944954129</v>
      </c>
      <c r="F66" s="50">
        <f t="shared" si="15"/>
        <v>-2.1938006966593093E-13</v>
      </c>
      <c r="G66" s="50">
        <f t="shared" si="20"/>
        <v>-1.3026616822268502E-15</v>
      </c>
      <c r="H66" s="50">
        <f t="shared" si="21"/>
        <v>-5.7126501655490811</v>
      </c>
      <c r="I66" s="53">
        <f t="shared" si="16"/>
        <v>-2.1849189124623081E-13</v>
      </c>
      <c r="J66" s="26"/>
      <c r="K66" s="26"/>
      <c r="L66" s="26"/>
      <c r="M66" s="26"/>
    </row>
    <row r="67" spans="1:13" x14ac:dyDescent="0.25">
      <c r="A67" s="40">
        <f t="shared" si="17"/>
        <v>8388608</v>
      </c>
      <c r="B67" s="50">
        <v>1.5497207641601601E-6</v>
      </c>
      <c r="C67" s="50">
        <v>-5.7126501655487898</v>
      </c>
      <c r="D67" s="50">
        <f t="shared" si="18"/>
        <v>0.43031358885017423</v>
      </c>
      <c r="E67" s="50">
        <f t="shared" si="19"/>
        <v>1.3058933582787653</v>
      </c>
      <c r="F67" s="50">
        <f t="shared" si="15"/>
        <v>-5.0981441290787188E-13</v>
      </c>
      <c r="G67" s="50">
        <f t="shared" si="20"/>
        <v>-1.4625337977728727E-14</v>
      </c>
      <c r="H67" s="50">
        <f t="shared" si="21"/>
        <v>-5.712650165548804</v>
      </c>
      <c r="I67" s="53">
        <f t="shared" si="16"/>
        <v>-4.9560355819266988E-13</v>
      </c>
    </row>
    <row r="68" spans="1:13" x14ac:dyDescent="0.25">
      <c r="A68" s="40">
        <f t="shared" si="17"/>
        <v>16777216</v>
      </c>
      <c r="B68" s="50">
        <v>7.7486038208007802E-7</v>
      </c>
      <c r="C68" s="50">
        <v>-5.7126501655478403</v>
      </c>
      <c r="D68" s="50">
        <f t="shared" si="18"/>
        <v>0.34936092513694461</v>
      </c>
      <c r="E68" s="50">
        <f t="shared" si="19"/>
        <v>0.10393964794635373</v>
      </c>
      <c r="F68" s="50">
        <f t="shared" si="15"/>
        <v>-1.4592771435673058E-12</v>
      </c>
      <c r="G68" s="50">
        <f t="shared" si="20"/>
        <v>-3.3987627527191458E-14</v>
      </c>
      <c r="H68" s="50">
        <f t="shared" si="21"/>
        <v>-5.7126501655478741</v>
      </c>
      <c r="I68" s="53">
        <f t="shared" si="16"/>
        <v>-1.425526363618701E-12</v>
      </c>
    </row>
    <row r="69" spans="1:13" x14ac:dyDescent="0.25">
      <c r="A69" s="40">
        <f t="shared" si="17"/>
        <v>33554432</v>
      </c>
      <c r="B69" s="50">
        <v>3.8743019104003901E-7</v>
      </c>
      <c r="C69" s="50">
        <v>-5.7126501655488999</v>
      </c>
      <c r="D69" s="50">
        <f t="shared" si="18"/>
        <v>3.6511111111111112</v>
      </c>
      <c r="E69" s="50">
        <f t="shared" si="19"/>
        <v>0.61190631099544568</v>
      </c>
      <c r="F69" s="50">
        <f t="shared" si="15"/>
        <v>-3.9968028886505635E-13</v>
      </c>
      <c r="G69" s="50">
        <f t="shared" si="20"/>
        <v>-9.7285142904487049E-14</v>
      </c>
      <c r="H69" s="50">
        <f t="shared" si="21"/>
        <v>-5.7126501655489976</v>
      </c>
      <c r="I69" s="53">
        <f t="shared" si="16"/>
        <v>-3.0198066269804258E-13</v>
      </c>
    </row>
    <row r="70" spans="1:13" x14ac:dyDescent="0.25">
      <c r="A70" s="40">
        <f t="shared" si="17"/>
        <v>67108864</v>
      </c>
      <c r="B70" s="50">
        <v>1.9371509552002001E-7</v>
      </c>
      <c r="C70" s="50">
        <v>-5.7126501655461697</v>
      </c>
      <c r="D70" s="50">
        <f t="shared" si="18"/>
        <v>0.12769580022701477</v>
      </c>
      <c r="E70" s="50">
        <f t="shared" si="19"/>
        <v>0.14682209270052735</v>
      </c>
      <c r="F70" s="50">
        <f t="shared" si="15"/>
        <v>-3.1299407510232413E-12</v>
      </c>
      <c r="G70" s="50">
        <f t="shared" si="20"/>
        <v>-2.6645352591003757E-14</v>
      </c>
      <c r="H70" s="50">
        <f t="shared" si="21"/>
        <v>-5.7126501655461963</v>
      </c>
      <c r="I70" s="53">
        <f t="shared" si="16"/>
        <v>-3.1032953984322376E-12</v>
      </c>
    </row>
    <row r="71" spans="1:13" ht="15.75" thickBot="1" x14ac:dyDescent="0.3">
      <c r="A71" s="41">
        <f t="shared" si="17"/>
        <v>134217728</v>
      </c>
      <c r="B71" s="54">
        <v>9.6857547760009805E-8</v>
      </c>
      <c r="C71" s="54">
        <v>-5.7126501655493698</v>
      </c>
      <c r="D71" s="55">
        <f t="shared" si="18"/>
        <v>-44.607594936708864</v>
      </c>
      <c r="E71" s="55">
        <f t="shared" si="19"/>
        <v>0.99999999999943978</v>
      </c>
      <c r="F71" s="55">
        <f t="shared" si="15"/>
        <v>7.0166095156309893E-14</v>
      </c>
      <c r="G71" s="55">
        <f t="shared" si="20"/>
        <v>-2.0866271673488276E-13</v>
      </c>
      <c r="H71" s="55">
        <f t="shared" si="21"/>
        <v>-5.7126501655495785</v>
      </c>
      <c r="I71" s="56">
        <f t="shared" si="16"/>
        <v>2.7888802378583932E-13</v>
      </c>
    </row>
    <row r="74" spans="1:13" ht="15.75" thickBot="1" x14ac:dyDescent="0.3"/>
    <row r="75" spans="1:13" x14ac:dyDescent="0.25">
      <c r="A75" s="73" t="s">
        <v>52</v>
      </c>
      <c r="B75" s="74"/>
      <c r="C75" s="74"/>
      <c r="D75" s="74"/>
      <c r="E75" s="74"/>
      <c r="F75" s="74"/>
      <c r="G75" s="74"/>
      <c r="H75" s="74"/>
      <c r="I75" s="75"/>
    </row>
    <row r="76" spans="1:13" x14ac:dyDescent="0.25">
      <c r="A76" s="70" t="s">
        <v>42</v>
      </c>
      <c r="B76" s="71"/>
      <c r="C76" s="71"/>
      <c r="D76" s="71"/>
      <c r="E76" s="71"/>
      <c r="F76" s="71"/>
      <c r="G76" s="71"/>
      <c r="H76" s="71"/>
      <c r="I76" s="72"/>
    </row>
    <row r="77" spans="1:13" x14ac:dyDescent="0.25">
      <c r="A77" s="70" t="s">
        <v>43</v>
      </c>
      <c r="B77" s="71"/>
      <c r="C77" s="71"/>
      <c r="D77" s="71"/>
      <c r="E77" s="71"/>
      <c r="F77" s="71"/>
      <c r="G77" s="71"/>
      <c r="H77" s="71"/>
      <c r="I77" s="72"/>
    </row>
    <row r="78" spans="1:13" x14ac:dyDescent="0.25">
      <c r="A78" s="70" t="s">
        <v>51</v>
      </c>
      <c r="B78" s="71"/>
      <c r="C78" s="71"/>
      <c r="D78" s="71"/>
      <c r="E78" s="71"/>
      <c r="F78" s="71"/>
      <c r="G78" s="71"/>
      <c r="H78" s="71"/>
      <c r="I78" s="72"/>
    </row>
    <row r="79" spans="1:13" ht="124.5" customHeight="1" x14ac:dyDescent="0.25">
      <c r="A79" s="35" t="s">
        <v>3</v>
      </c>
      <c r="B79" s="34" t="s">
        <v>32</v>
      </c>
      <c r="C79" s="34" t="s">
        <v>4</v>
      </c>
      <c r="D79" s="34" t="s">
        <v>11</v>
      </c>
      <c r="E79" s="34" t="s">
        <v>33</v>
      </c>
      <c r="F79" s="34" t="s">
        <v>5</v>
      </c>
      <c r="G79" s="34" t="s">
        <v>6</v>
      </c>
      <c r="H79" s="34" t="s">
        <v>7</v>
      </c>
      <c r="I79" s="36" t="s">
        <v>8</v>
      </c>
    </row>
    <row r="80" spans="1:13" x14ac:dyDescent="0.25">
      <c r="A80" s="37" t="s">
        <v>9</v>
      </c>
      <c r="B80" s="6" t="s">
        <v>34</v>
      </c>
      <c r="C80" s="6" t="s">
        <v>20</v>
      </c>
      <c r="D80" s="6" t="s">
        <v>21</v>
      </c>
      <c r="E80" s="6" t="s">
        <v>35</v>
      </c>
      <c r="F80" s="23" t="s">
        <v>22</v>
      </c>
      <c r="G80" s="30" t="s">
        <v>53</v>
      </c>
      <c r="H80" s="23" t="s">
        <v>24</v>
      </c>
      <c r="I80" s="7" t="s">
        <v>25</v>
      </c>
    </row>
    <row r="81" spans="1:9" x14ac:dyDescent="0.25">
      <c r="A81" s="40">
        <v>1</v>
      </c>
      <c r="B81" s="50">
        <v>13</v>
      </c>
      <c r="C81" s="50">
        <v>15.259480941057699</v>
      </c>
      <c r="D81" s="51" t="s">
        <v>31</v>
      </c>
      <c r="E81" s="51" t="s">
        <v>31</v>
      </c>
      <c r="F81" s="50">
        <f t="shared" ref="F81:F108" si="22">$M$3-C81</f>
        <v>-20.972131106606998</v>
      </c>
      <c r="G81" s="51" t="s">
        <v>31</v>
      </c>
      <c r="H81" s="51" t="s">
        <v>31</v>
      </c>
      <c r="I81" s="52" t="s">
        <v>31</v>
      </c>
    </row>
    <row r="82" spans="1:9" x14ac:dyDescent="0.25">
      <c r="A82" s="40">
        <f>A81*2</f>
        <v>2</v>
      </c>
      <c r="B82" s="50">
        <v>6.5</v>
      </c>
      <c r="C82" s="50">
        <v>1.3320311665845399</v>
      </c>
      <c r="D82" s="50">
        <f>F81/F82</f>
        <v>2.9770162932628388</v>
      </c>
      <c r="E82" s="50">
        <f>(C83-C81)/(C83-C82)</f>
        <v>2.9350151897514798</v>
      </c>
      <c r="F82" s="50">
        <f t="shared" si="22"/>
        <v>-7.0446813321338393</v>
      </c>
      <c r="G82" s="50">
        <f>F81/15</f>
        <v>-1.3981420737738</v>
      </c>
      <c r="H82" s="50">
        <f>C82+G82</f>
        <v>-6.6110907189260049E-2</v>
      </c>
      <c r="I82" s="53">
        <f t="shared" ref="I82:I108" si="23">$M$3-H82</f>
        <v>-5.6465392583600398</v>
      </c>
    </row>
    <row r="83" spans="1:9" x14ac:dyDescent="0.25">
      <c r="A83" s="40">
        <f t="shared" ref="A83:A108" si="24">A82*2</f>
        <v>4</v>
      </c>
      <c r="B83" s="50">
        <v>3.25</v>
      </c>
      <c r="C83" s="50">
        <v>-5.8655607945730903</v>
      </c>
      <c r="D83" s="50">
        <f t="shared" ref="D83:D108" si="25">F82/F83</f>
        <v>-46.070579770081174</v>
      </c>
      <c r="E83" s="50">
        <f t="shared" ref="E83:E108" si="26">(C84-C82)/(C84-C83)</f>
        <v>-48.441133870547226</v>
      </c>
      <c r="F83" s="50">
        <f t="shared" si="22"/>
        <v>0.15291062902379071</v>
      </c>
      <c r="G83" s="50">
        <f t="shared" ref="G83:G108" si="27">F82/15</f>
        <v>-0.46964542214225596</v>
      </c>
      <c r="H83" s="50">
        <f t="shared" ref="H83:H108" si="28">C83+G83</f>
        <v>-6.3352062167153465</v>
      </c>
      <c r="I83" s="53">
        <f t="shared" si="23"/>
        <v>0.62255605116604684</v>
      </c>
    </row>
    <row r="84" spans="1:9" x14ac:dyDescent="0.25">
      <c r="A84" s="40">
        <f t="shared" si="24"/>
        <v>8</v>
      </c>
      <c r="B84" s="50">
        <v>1.625</v>
      </c>
      <c r="C84" s="50">
        <v>-5.7199817716485102</v>
      </c>
      <c r="D84" s="50">
        <f t="shared" si="25"/>
        <v>20.856361751384224</v>
      </c>
      <c r="E84" s="50">
        <f t="shared" si="26"/>
        <v>22.101786707815776</v>
      </c>
      <c r="F84" s="50">
        <f t="shared" si="22"/>
        <v>7.3316060992105747E-3</v>
      </c>
      <c r="G84" s="50">
        <f t="shared" si="27"/>
        <v>1.0194041934919381E-2</v>
      </c>
      <c r="H84" s="50">
        <f t="shared" si="28"/>
        <v>-5.7097877297135904</v>
      </c>
      <c r="I84" s="53">
        <f t="shared" si="23"/>
        <v>-2.8624358357092206E-3</v>
      </c>
    </row>
    <row r="85" spans="1:9" x14ac:dyDescent="0.25">
      <c r="A85" s="40">
        <f t="shared" si="24"/>
        <v>16</v>
      </c>
      <c r="B85" s="50">
        <v>0.8125</v>
      </c>
      <c r="C85" s="50">
        <v>-5.7130828760743899</v>
      </c>
      <c r="D85" s="50">
        <f t="shared" si="25"/>
        <v>16.943442958038649</v>
      </c>
      <c r="E85" s="50">
        <f t="shared" si="26"/>
        <v>17.990738623043686</v>
      </c>
      <c r="F85" s="50">
        <f t="shared" si="22"/>
        <v>4.3271052509030739E-4</v>
      </c>
      <c r="G85" s="50">
        <f t="shared" si="27"/>
        <v>4.8877373994737168E-4</v>
      </c>
      <c r="H85" s="50">
        <f t="shared" si="28"/>
        <v>-5.7125941023344424</v>
      </c>
      <c r="I85" s="53">
        <f t="shared" si="23"/>
        <v>-5.6063214857182686E-5</v>
      </c>
    </row>
    <row r="86" spans="1:9" x14ac:dyDescent="0.25">
      <c r="A86" s="40">
        <f t="shared" si="24"/>
        <v>32</v>
      </c>
      <c r="B86" s="50">
        <v>0.40625</v>
      </c>
      <c r="C86" s="50">
        <v>-5.7126768374831798</v>
      </c>
      <c r="D86" s="50">
        <f t="shared" si="25"/>
        <v>16.223440228755255</v>
      </c>
      <c r="E86" s="50">
        <f t="shared" si="26"/>
        <v>17.234619512138288</v>
      </c>
      <c r="F86" s="50">
        <f t="shared" si="22"/>
        <v>2.6671933880173526E-5</v>
      </c>
      <c r="G86" s="50">
        <f t="shared" si="27"/>
        <v>2.8847368339353827E-5</v>
      </c>
      <c r="H86" s="50">
        <f t="shared" si="28"/>
        <v>-5.7126479901148404</v>
      </c>
      <c r="I86" s="53">
        <f t="shared" si="23"/>
        <v>-2.1754344592395114E-6</v>
      </c>
    </row>
    <row r="87" spans="1:9" x14ac:dyDescent="0.25">
      <c r="A87" s="40">
        <f t="shared" si="24"/>
        <v>64</v>
      </c>
      <c r="B87" s="50">
        <v>0.203125</v>
      </c>
      <c r="C87" s="50">
        <v>-5.7126518268205704</v>
      </c>
      <c r="D87" s="50">
        <f t="shared" si="25"/>
        <v>16.055134612551825</v>
      </c>
      <c r="E87" s="50">
        <f t="shared" si="26"/>
        <v>17.057891865482826</v>
      </c>
      <c r="F87" s="50">
        <f t="shared" si="22"/>
        <v>1.6612712707697597E-6</v>
      </c>
      <c r="G87" s="50">
        <f t="shared" si="27"/>
        <v>1.7781289253449018E-6</v>
      </c>
      <c r="H87" s="50">
        <f t="shared" si="28"/>
        <v>-5.7126500486916454</v>
      </c>
      <c r="I87" s="53">
        <f t="shared" si="23"/>
        <v>-1.1685765421987071E-7</v>
      </c>
    </row>
    <row r="88" spans="1:9" x14ac:dyDescent="0.25">
      <c r="A88" s="40">
        <f t="shared" si="24"/>
        <v>128</v>
      </c>
      <c r="B88" s="50">
        <v>0.1015625</v>
      </c>
      <c r="C88" s="50">
        <v>-5.7126502692896803</v>
      </c>
      <c r="D88" s="50">
        <f t="shared" si="25"/>
        <v>16.013737939612565</v>
      </c>
      <c r="E88" s="50">
        <f t="shared" si="26"/>
        <v>17.014426047079983</v>
      </c>
      <c r="F88" s="50">
        <f t="shared" si="22"/>
        <v>1.0374038073024394E-7</v>
      </c>
      <c r="G88" s="50">
        <f t="shared" si="27"/>
        <v>1.1075141805131731E-7</v>
      </c>
      <c r="H88" s="50">
        <f t="shared" si="28"/>
        <v>-5.7126501585382625</v>
      </c>
      <c r="I88" s="53">
        <f t="shared" si="23"/>
        <v>-7.0110370842257907E-9</v>
      </c>
    </row>
    <row r="89" spans="1:9" x14ac:dyDescent="0.25">
      <c r="A89" s="40">
        <f t="shared" si="24"/>
        <v>256</v>
      </c>
      <c r="B89" s="50">
        <v>5.078125E-2</v>
      </c>
      <c r="C89" s="50">
        <v>-5.7126501720316902</v>
      </c>
      <c r="D89" s="50">
        <f t="shared" si="25"/>
        <v>16.003413978417278</v>
      </c>
      <c r="E89" s="50">
        <f t="shared" si="26"/>
        <v>17.003618918869545</v>
      </c>
      <c r="F89" s="50">
        <f t="shared" si="22"/>
        <v>6.4823906242850171E-9</v>
      </c>
      <c r="G89" s="50">
        <f t="shared" si="27"/>
        <v>6.9160253820162625E-9</v>
      </c>
      <c r="H89" s="50">
        <f t="shared" si="28"/>
        <v>-5.7126501651156651</v>
      </c>
      <c r="I89" s="53">
        <f t="shared" si="23"/>
        <v>-4.3363446167177244E-10</v>
      </c>
    </row>
    <row r="90" spans="1:9" x14ac:dyDescent="0.25">
      <c r="A90" s="40">
        <f t="shared" si="24"/>
        <v>512</v>
      </c>
      <c r="B90" s="50">
        <v>2.5390625E-2</v>
      </c>
      <c r="C90" s="50">
        <v>-5.7126501659544404</v>
      </c>
      <c r="D90" s="50">
        <f t="shared" si="25"/>
        <v>16.000339801994091</v>
      </c>
      <c r="E90" s="50">
        <f t="shared" si="26"/>
        <v>17.000727265924436</v>
      </c>
      <c r="F90" s="50">
        <f t="shared" si="22"/>
        <v>4.0514080978937272E-10</v>
      </c>
      <c r="G90" s="50">
        <f t="shared" si="27"/>
        <v>4.3215937495233448E-10</v>
      </c>
      <c r="H90" s="50">
        <f t="shared" si="28"/>
        <v>-5.7126501655222812</v>
      </c>
      <c r="I90" s="53">
        <f t="shared" si="23"/>
        <v>-2.701838752727781E-11</v>
      </c>
    </row>
    <row r="91" spans="1:9" x14ac:dyDescent="0.25">
      <c r="A91" s="40">
        <f t="shared" si="24"/>
        <v>1024</v>
      </c>
      <c r="B91" s="50">
        <v>1.26953125E-2</v>
      </c>
      <c r="C91" s="50">
        <v>-5.7126501655746296</v>
      </c>
      <c r="D91" s="50">
        <f t="shared" si="25"/>
        <v>15.994529962481153</v>
      </c>
      <c r="E91" s="50">
        <f t="shared" si="26"/>
        <v>17.005876408279374</v>
      </c>
      <c r="F91" s="50">
        <f t="shared" si="22"/>
        <v>2.5329960351427872E-11</v>
      </c>
      <c r="G91" s="50">
        <f t="shared" si="27"/>
        <v>2.7009387319291513E-11</v>
      </c>
      <c r="H91" s="50">
        <f t="shared" si="28"/>
        <v>-5.7126501655476201</v>
      </c>
      <c r="I91" s="53">
        <f t="shared" si="23"/>
        <v>-1.6795453916529368E-12</v>
      </c>
    </row>
    <row r="92" spans="1:9" x14ac:dyDescent="0.25">
      <c r="A92" s="40">
        <f t="shared" si="24"/>
        <v>2048</v>
      </c>
      <c r="B92" s="50">
        <v>6.34765625E-3</v>
      </c>
      <c r="C92" s="50">
        <v>-5.7126501655509001</v>
      </c>
      <c r="D92" s="50">
        <f t="shared" si="25"/>
        <v>15.82630410654828</v>
      </c>
      <c r="E92" s="50">
        <f t="shared" si="26"/>
        <v>16.818235642391947</v>
      </c>
      <c r="F92" s="50">
        <f t="shared" si="22"/>
        <v>1.6004975122996257E-12</v>
      </c>
      <c r="G92" s="50">
        <f t="shared" si="27"/>
        <v>1.6886640234285248E-12</v>
      </c>
      <c r="H92" s="50">
        <f t="shared" si="28"/>
        <v>-5.7126501655492117</v>
      </c>
      <c r="I92" s="53">
        <f t="shared" si="23"/>
        <v>-8.7929663550312398E-14</v>
      </c>
    </row>
    <row r="93" spans="1:9" x14ac:dyDescent="0.25">
      <c r="A93" s="40">
        <f t="shared" si="24"/>
        <v>4096</v>
      </c>
      <c r="B93" s="50">
        <v>3.173828125E-3</v>
      </c>
      <c r="C93" s="50">
        <v>-5.7126501655494</v>
      </c>
      <c r="D93" s="50">
        <f t="shared" si="25"/>
        <v>15.946902654867257</v>
      </c>
      <c r="E93" s="50">
        <f t="shared" si="26"/>
        <v>15.946902654867257</v>
      </c>
      <c r="F93" s="50">
        <f t="shared" si="22"/>
        <v>1.0036416142611415E-13</v>
      </c>
      <c r="G93" s="50">
        <f t="shared" si="27"/>
        <v>1.0669983415330838E-13</v>
      </c>
      <c r="H93" s="50">
        <f t="shared" si="28"/>
        <v>-5.7126501655492934</v>
      </c>
      <c r="I93" s="53">
        <f t="shared" si="23"/>
        <v>0</v>
      </c>
    </row>
    <row r="94" spans="1:9" x14ac:dyDescent="0.25">
      <c r="A94" s="40">
        <f t="shared" si="24"/>
        <v>8192</v>
      </c>
      <c r="B94" s="50">
        <v>1.5869140625E-3</v>
      </c>
      <c r="C94" s="50">
        <v>-5.7126501655492996</v>
      </c>
      <c r="D94" s="50" t="e">
        <f t="shared" si="25"/>
        <v>#DIV/0!</v>
      </c>
      <c r="E94" s="50">
        <f t="shared" si="26"/>
        <v>-3.9130434782608696</v>
      </c>
      <c r="F94" s="50">
        <f t="shared" si="22"/>
        <v>0</v>
      </c>
      <c r="G94" s="50">
        <f t="shared" si="27"/>
        <v>6.6909440950742766E-15</v>
      </c>
      <c r="H94" s="50">
        <f t="shared" si="28"/>
        <v>-5.7126501655492925</v>
      </c>
      <c r="I94" s="53">
        <f t="shared" si="23"/>
        <v>-7.1054273576010019E-15</v>
      </c>
    </row>
    <row r="95" spans="1:9" x14ac:dyDescent="0.25">
      <c r="A95" s="40">
        <f t="shared" si="24"/>
        <v>16384</v>
      </c>
      <c r="B95" s="50">
        <v>7.9345703125E-4</v>
      </c>
      <c r="C95" s="50">
        <v>-5.71265016554932</v>
      </c>
      <c r="D95" s="50">
        <f t="shared" si="25"/>
        <v>0</v>
      </c>
      <c r="E95" s="50">
        <f t="shared" si="26"/>
        <v>0</v>
      </c>
      <c r="F95" s="50">
        <f t="shared" si="22"/>
        <v>2.042810365310288E-14</v>
      </c>
      <c r="G95" s="50">
        <f t="shared" si="27"/>
        <v>0</v>
      </c>
      <c r="H95" s="50">
        <f t="shared" si="28"/>
        <v>-5.71265016554932</v>
      </c>
      <c r="I95" s="53">
        <f t="shared" si="23"/>
        <v>2.042810365310288E-14</v>
      </c>
    </row>
    <row r="96" spans="1:9" x14ac:dyDescent="0.25">
      <c r="A96" s="40">
        <f t="shared" si="24"/>
        <v>32768</v>
      </c>
      <c r="B96" s="50">
        <v>3.96728515625E-4</v>
      </c>
      <c r="C96" s="50">
        <v>-5.7126501655492996</v>
      </c>
      <c r="D96" s="50" t="e">
        <f t="shared" si="25"/>
        <v>#DIV/0!</v>
      </c>
      <c r="E96" s="50">
        <f t="shared" si="26"/>
        <v>1.696969696969697</v>
      </c>
      <c r="F96" s="50">
        <f t="shared" si="22"/>
        <v>0</v>
      </c>
      <c r="G96" s="50">
        <f t="shared" si="27"/>
        <v>1.3618735768735254E-15</v>
      </c>
      <c r="H96" s="50">
        <f t="shared" si="28"/>
        <v>-5.7126501655492978</v>
      </c>
      <c r="I96" s="53">
        <f t="shared" si="23"/>
        <v>0</v>
      </c>
    </row>
    <row r="97" spans="1:9" x14ac:dyDescent="0.25">
      <c r="A97" s="40">
        <f t="shared" si="24"/>
        <v>65536</v>
      </c>
      <c r="B97" s="50">
        <v>1.983642578125E-4</v>
      </c>
      <c r="C97" s="50">
        <v>-5.7126501655492703</v>
      </c>
      <c r="D97" s="50">
        <f t="shared" si="25"/>
        <v>0</v>
      </c>
      <c r="E97" s="50">
        <f t="shared" si="26"/>
        <v>3.75</v>
      </c>
      <c r="F97" s="50">
        <f t="shared" si="22"/>
        <v>-2.9309887850104133E-14</v>
      </c>
      <c r="G97" s="50">
        <f t="shared" si="27"/>
        <v>0</v>
      </c>
      <c r="H97" s="50">
        <f t="shared" si="28"/>
        <v>-5.7126501655492703</v>
      </c>
      <c r="I97" s="53">
        <f t="shared" si="23"/>
        <v>-2.9309887850104133E-14</v>
      </c>
    </row>
    <row r="98" spans="1:9" x14ac:dyDescent="0.25">
      <c r="A98" s="40">
        <f t="shared" si="24"/>
        <v>131072</v>
      </c>
      <c r="B98" s="50">
        <v>9.918212890625E-5</v>
      </c>
      <c r="C98" s="50">
        <v>-5.7126501655492596</v>
      </c>
      <c r="D98" s="50">
        <f t="shared" si="25"/>
        <v>0.73333333333333328</v>
      </c>
      <c r="E98" s="50">
        <f t="shared" si="26"/>
        <v>0.93370165745856348</v>
      </c>
      <c r="F98" s="50">
        <f t="shared" si="22"/>
        <v>-3.9968028886505635E-14</v>
      </c>
      <c r="G98" s="50">
        <f t="shared" si="27"/>
        <v>-1.9539925233402757E-15</v>
      </c>
      <c r="H98" s="50">
        <f t="shared" si="28"/>
        <v>-5.7126501655492614</v>
      </c>
      <c r="I98" s="53">
        <f t="shared" si="23"/>
        <v>-3.8191672047105385E-14</v>
      </c>
    </row>
    <row r="99" spans="1:9" x14ac:dyDescent="0.25">
      <c r="A99" s="40">
        <f t="shared" si="24"/>
        <v>262144</v>
      </c>
      <c r="B99" s="50">
        <v>4.9591064453125E-5</v>
      </c>
      <c r="C99" s="50">
        <v>-5.7126501655494204</v>
      </c>
      <c r="D99" s="50">
        <f t="shared" si="25"/>
        <v>-0.33088235294117646</v>
      </c>
      <c r="E99" s="50">
        <f t="shared" si="26"/>
        <v>-0.14556962025316456</v>
      </c>
      <c r="F99" s="50">
        <f t="shared" si="22"/>
        <v>1.2079226507921703E-13</v>
      </c>
      <c r="G99" s="50">
        <f t="shared" si="27"/>
        <v>-2.6645352591003757E-15</v>
      </c>
      <c r="H99" s="50">
        <f t="shared" si="28"/>
        <v>-5.7126501655494231</v>
      </c>
      <c r="I99" s="53">
        <f t="shared" si="23"/>
        <v>1.2345680033831741E-13</v>
      </c>
    </row>
    <row r="100" spans="1:9" x14ac:dyDescent="0.25">
      <c r="A100" s="40">
        <f t="shared" si="24"/>
        <v>524288</v>
      </c>
      <c r="B100" s="50">
        <v>2.47955322265625E-5</v>
      </c>
      <c r="C100" s="50">
        <v>-5.7126501655492801</v>
      </c>
      <c r="D100" s="50">
        <f t="shared" si="25"/>
        <v>-6.1818181818181817</v>
      </c>
      <c r="E100" s="50">
        <f t="shared" si="26"/>
        <v>1.7783251231527093</v>
      </c>
      <c r="F100" s="50">
        <f t="shared" si="22"/>
        <v>-1.9539925233402755E-14</v>
      </c>
      <c r="G100" s="50">
        <f t="shared" si="27"/>
        <v>8.0528176719478019E-15</v>
      </c>
      <c r="H100" s="50">
        <f t="shared" si="28"/>
        <v>-5.7126501655492721</v>
      </c>
      <c r="I100" s="53">
        <f t="shared" si="23"/>
        <v>-2.7533531010703882E-14</v>
      </c>
    </row>
    <row r="101" spans="1:9" x14ac:dyDescent="0.25">
      <c r="A101" s="40">
        <f t="shared" si="24"/>
        <v>1048576</v>
      </c>
      <c r="B101" s="50">
        <v>1.2397766113281301E-5</v>
      </c>
      <c r="C101" s="50">
        <v>-5.7126501655490998</v>
      </c>
      <c r="D101" s="50">
        <f t="shared" si="25"/>
        <v>9.7777777777777783E-2</v>
      </c>
      <c r="E101" s="50">
        <f t="shared" si="26"/>
        <v>0</v>
      </c>
      <c r="F101" s="50">
        <f t="shared" si="22"/>
        <v>-1.9984014443252818E-13</v>
      </c>
      <c r="G101" s="50">
        <f t="shared" si="27"/>
        <v>-1.3026616822268502E-15</v>
      </c>
      <c r="H101" s="50">
        <f t="shared" si="28"/>
        <v>-5.7126501655491007</v>
      </c>
      <c r="I101" s="53">
        <f t="shared" si="23"/>
        <v>-1.9895196601282805E-13</v>
      </c>
    </row>
    <row r="102" spans="1:9" x14ac:dyDescent="0.25">
      <c r="A102" s="40">
        <f t="shared" si="24"/>
        <v>2097152</v>
      </c>
      <c r="B102" s="50">
        <v>6.1988830566406301E-6</v>
      </c>
      <c r="C102" s="50">
        <v>-5.7126501655492801</v>
      </c>
      <c r="D102" s="50">
        <f t="shared" si="25"/>
        <v>10.227272727272727</v>
      </c>
      <c r="E102" s="50">
        <f t="shared" si="26"/>
        <v>9.7777777777777783E-2</v>
      </c>
      <c r="F102" s="50">
        <f t="shared" si="22"/>
        <v>-1.9539925233402755E-14</v>
      </c>
      <c r="G102" s="50">
        <f t="shared" si="27"/>
        <v>-1.3322676295501878E-14</v>
      </c>
      <c r="H102" s="50">
        <f t="shared" si="28"/>
        <v>-5.7126501655492934</v>
      </c>
      <c r="I102" s="53">
        <f t="shared" si="23"/>
        <v>0</v>
      </c>
    </row>
    <row r="103" spans="1:9" x14ac:dyDescent="0.25">
      <c r="A103" s="40">
        <f t="shared" si="24"/>
        <v>4194304</v>
      </c>
      <c r="B103" s="50">
        <v>3.09944152832031E-6</v>
      </c>
      <c r="C103" s="50">
        <v>-5.7126501655490802</v>
      </c>
      <c r="D103" s="50">
        <f t="shared" si="25"/>
        <v>8.9068825910931168E-2</v>
      </c>
      <c r="E103" s="50">
        <f t="shared" si="26"/>
        <v>1.6880733944954129</v>
      </c>
      <c r="F103" s="50">
        <f t="shared" si="22"/>
        <v>-2.1938006966593093E-13</v>
      </c>
      <c r="G103" s="50">
        <f t="shared" si="27"/>
        <v>-1.3026616822268502E-15</v>
      </c>
      <c r="H103" s="50">
        <f t="shared" si="28"/>
        <v>-5.7126501655490811</v>
      </c>
      <c r="I103" s="53">
        <f t="shared" si="23"/>
        <v>-2.1849189124623081E-13</v>
      </c>
    </row>
    <row r="104" spans="1:9" x14ac:dyDescent="0.25">
      <c r="A104" s="40">
        <f t="shared" si="24"/>
        <v>8388608</v>
      </c>
      <c r="B104" s="50">
        <v>1.5497207641601601E-6</v>
      </c>
      <c r="C104" s="50">
        <v>-5.7126501655487898</v>
      </c>
      <c r="D104" s="50">
        <f t="shared" si="25"/>
        <v>0.43031358885017423</v>
      </c>
      <c r="E104" s="50">
        <f t="shared" si="26"/>
        <v>1.3058933582787653</v>
      </c>
      <c r="F104" s="50">
        <f t="shared" si="22"/>
        <v>-5.0981441290787188E-13</v>
      </c>
      <c r="G104" s="50">
        <f t="shared" si="27"/>
        <v>-1.4625337977728727E-14</v>
      </c>
      <c r="H104" s="50">
        <f t="shared" si="28"/>
        <v>-5.712650165548804</v>
      </c>
      <c r="I104" s="53">
        <f t="shared" si="23"/>
        <v>-4.9560355819266988E-13</v>
      </c>
    </row>
    <row r="105" spans="1:9" x14ac:dyDescent="0.25">
      <c r="A105" s="40">
        <f t="shared" si="24"/>
        <v>16777216</v>
      </c>
      <c r="B105" s="50">
        <v>7.7486038208007802E-7</v>
      </c>
      <c r="C105" s="50">
        <v>-5.7126501655478403</v>
      </c>
      <c r="D105" s="50">
        <f t="shared" si="25"/>
        <v>0.34936092513694461</v>
      </c>
      <c r="E105" s="50">
        <f t="shared" si="26"/>
        <v>0.10393964794635373</v>
      </c>
      <c r="F105" s="50">
        <f t="shared" si="22"/>
        <v>-1.4592771435673058E-12</v>
      </c>
      <c r="G105" s="50">
        <f t="shared" si="27"/>
        <v>-3.3987627527191458E-14</v>
      </c>
      <c r="H105" s="50">
        <f t="shared" si="28"/>
        <v>-5.7126501655478741</v>
      </c>
      <c r="I105" s="53">
        <f t="shared" si="23"/>
        <v>-1.425526363618701E-12</v>
      </c>
    </row>
    <row r="106" spans="1:9" x14ac:dyDescent="0.25">
      <c r="A106" s="40">
        <f t="shared" si="24"/>
        <v>33554432</v>
      </c>
      <c r="B106" s="50">
        <v>3.8743019104003901E-7</v>
      </c>
      <c r="C106" s="50">
        <v>-5.7126501655488999</v>
      </c>
      <c r="D106" s="50">
        <f t="shared" si="25"/>
        <v>3.6511111111111112</v>
      </c>
      <c r="E106" s="50">
        <f t="shared" si="26"/>
        <v>0.61190631099544568</v>
      </c>
      <c r="F106" s="50">
        <f t="shared" si="22"/>
        <v>-3.9968028886505635E-13</v>
      </c>
      <c r="G106" s="50">
        <f t="shared" si="27"/>
        <v>-9.7285142904487049E-14</v>
      </c>
      <c r="H106" s="50">
        <f t="shared" si="28"/>
        <v>-5.7126501655489976</v>
      </c>
      <c r="I106" s="53">
        <f t="shared" si="23"/>
        <v>-3.0198066269804258E-13</v>
      </c>
    </row>
    <row r="107" spans="1:9" x14ac:dyDescent="0.25">
      <c r="A107" s="40">
        <f t="shared" si="24"/>
        <v>67108864</v>
      </c>
      <c r="B107" s="50">
        <v>1.9371509552002001E-7</v>
      </c>
      <c r="C107" s="50">
        <v>-5.7126501655461697</v>
      </c>
      <c r="D107" s="50">
        <f t="shared" si="25"/>
        <v>0.12769580022701477</v>
      </c>
      <c r="E107" s="50">
        <f t="shared" si="26"/>
        <v>0.14682209270052735</v>
      </c>
      <c r="F107" s="50">
        <f t="shared" si="22"/>
        <v>-3.1299407510232413E-12</v>
      </c>
      <c r="G107" s="50">
        <f t="shared" si="27"/>
        <v>-2.6645352591003757E-14</v>
      </c>
      <c r="H107" s="50">
        <f t="shared" si="28"/>
        <v>-5.7126501655461963</v>
      </c>
      <c r="I107" s="53">
        <f t="shared" si="23"/>
        <v>-3.1032953984322376E-12</v>
      </c>
    </row>
    <row r="108" spans="1:9" ht="15.75" thickBot="1" x14ac:dyDescent="0.3">
      <c r="A108" s="41">
        <f t="shared" si="24"/>
        <v>134217728</v>
      </c>
      <c r="B108" s="54">
        <v>9.6857547760009805E-8</v>
      </c>
      <c r="C108" s="54">
        <v>-5.7126501655493698</v>
      </c>
      <c r="D108" s="55">
        <f t="shared" si="25"/>
        <v>-44.607594936708864</v>
      </c>
      <c r="E108" s="55">
        <f t="shared" si="26"/>
        <v>0.99999999999943978</v>
      </c>
      <c r="F108" s="55">
        <f t="shared" si="22"/>
        <v>7.0166095156309893E-14</v>
      </c>
      <c r="G108" s="55">
        <f t="shared" si="27"/>
        <v>-2.0866271673488276E-13</v>
      </c>
      <c r="H108" s="55">
        <f t="shared" si="28"/>
        <v>-5.7126501655495785</v>
      </c>
      <c r="I108" s="56">
        <f t="shared" si="23"/>
        <v>2.7888802378583932E-13</v>
      </c>
    </row>
  </sheetData>
  <mergeCells count="12">
    <mergeCell ref="A1:I1"/>
    <mergeCell ref="A2:I2"/>
    <mergeCell ref="A3:I3"/>
    <mergeCell ref="A4:I4"/>
    <mergeCell ref="A75:I75"/>
    <mergeCell ref="A76:I76"/>
    <mergeCell ref="A77:I77"/>
    <mergeCell ref="A78:I78"/>
    <mergeCell ref="A38:I38"/>
    <mergeCell ref="A39:I39"/>
    <mergeCell ref="A40:I40"/>
    <mergeCell ref="A41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Верификация</vt:lpstr>
      <vt:lpstr>Прямоугольники</vt:lpstr>
      <vt:lpstr>Симпсон</vt:lpstr>
      <vt:lpstr>Ньютон Котес 4</vt:lpstr>
      <vt:lpstr>Двойная точность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Буров</dc:creator>
  <cp:lastModifiedBy>Евгений Буров</cp:lastModifiedBy>
  <dcterms:created xsi:type="dcterms:W3CDTF">2015-06-05T18:17:20Z</dcterms:created>
  <dcterms:modified xsi:type="dcterms:W3CDTF">2025-05-12T06:39:57Z</dcterms:modified>
</cp:coreProperties>
</file>