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vgen\source\repos\nstu-v2\Numerical_computations\lab4\"/>
    </mc:Choice>
  </mc:AlternateContent>
  <xr:revisionPtr revIDLastSave="0" documentId="13_ncr:1_{062FF5F3-6B6B-4BE1-9CB7-2591D8A4C8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Верификация" sheetId="3" r:id="rId1"/>
    <sheet name="Прямоугольники" sheetId="4" r:id="rId2"/>
    <sheet name="Симпсон" sheetId="5" r:id="rId3"/>
    <sheet name="Ньютон Котес 4" sheetId="6" r:id="rId4"/>
    <sheet name="Двойная точность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7" l="1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73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45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8" i="7"/>
  <c r="G31" i="6"/>
  <c r="G32" i="6"/>
  <c r="G33" i="6"/>
  <c r="G34" i="6"/>
  <c r="G35" i="6"/>
  <c r="G36" i="6"/>
  <c r="G37" i="6"/>
  <c r="G38" i="6"/>
  <c r="G39" i="6"/>
  <c r="G40" i="6"/>
  <c r="G41" i="6"/>
  <c r="G30" i="6"/>
  <c r="G9" i="6"/>
  <c r="G10" i="6"/>
  <c r="G11" i="6"/>
  <c r="G12" i="6"/>
  <c r="G13" i="6"/>
  <c r="G14" i="6"/>
  <c r="G15" i="6"/>
  <c r="G16" i="6"/>
  <c r="G17" i="6"/>
  <c r="G18" i="6"/>
  <c r="G19" i="6"/>
  <c r="G8" i="6"/>
  <c r="G31" i="5"/>
  <c r="G32" i="5"/>
  <c r="G33" i="5"/>
  <c r="G34" i="5"/>
  <c r="G35" i="5"/>
  <c r="G36" i="5"/>
  <c r="G37" i="5"/>
  <c r="G38" i="5"/>
  <c r="G39" i="5"/>
  <c r="G40" i="5"/>
  <c r="G30" i="5"/>
  <c r="G9" i="5"/>
  <c r="G10" i="5"/>
  <c r="G11" i="5"/>
  <c r="G12" i="5"/>
  <c r="G13" i="5"/>
  <c r="G14" i="5"/>
  <c r="G15" i="5"/>
  <c r="G16" i="5"/>
  <c r="G17" i="5"/>
  <c r="G18" i="5"/>
  <c r="G19" i="5"/>
  <c r="G8" i="5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34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8" i="4"/>
  <c r="H36" i="3"/>
  <c r="I36" i="3" s="1"/>
  <c r="J36" i="3" s="1"/>
  <c r="G36" i="3"/>
  <c r="G35" i="3"/>
  <c r="F36" i="3" s="1"/>
  <c r="H34" i="3"/>
  <c r="G34" i="3"/>
  <c r="I34" i="3" s="1"/>
  <c r="J34" i="3" s="1"/>
  <c r="G33" i="3"/>
  <c r="F34" i="3" s="1"/>
  <c r="H32" i="3"/>
  <c r="I32" i="3" s="1"/>
  <c r="J32" i="3" s="1"/>
  <c r="G32" i="3"/>
  <c r="G31" i="3"/>
  <c r="F32" i="3" s="1"/>
  <c r="G30" i="3"/>
  <c r="H23" i="3"/>
  <c r="I23" i="3" s="1"/>
  <c r="J23" i="3" s="1"/>
  <c r="G23" i="3"/>
  <c r="F23" i="3"/>
  <c r="G22" i="3"/>
  <c r="H21" i="3"/>
  <c r="I21" i="3" s="1"/>
  <c r="J21" i="3" s="1"/>
  <c r="G21" i="3"/>
  <c r="G20" i="3"/>
  <c r="F21" i="3" s="1"/>
  <c r="H19" i="3"/>
  <c r="I19" i="3" s="1"/>
  <c r="J19" i="3" s="1"/>
  <c r="G19" i="3"/>
  <c r="F19" i="3"/>
  <c r="G18" i="3"/>
  <c r="G17" i="3"/>
  <c r="I10" i="3"/>
  <c r="J10" i="3" s="1"/>
  <c r="H10" i="3"/>
  <c r="G10" i="3"/>
  <c r="G9" i="3"/>
  <c r="F10" i="3" s="1"/>
  <c r="H8" i="3"/>
  <c r="I8" i="3" s="1"/>
  <c r="J8" i="3" s="1"/>
  <c r="G8" i="3"/>
  <c r="G7" i="3"/>
  <c r="F8" i="3" s="1"/>
  <c r="I6" i="3"/>
  <c r="J6" i="3" s="1"/>
  <c r="H6" i="3"/>
  <c r="G6" i="3"/>
  <c r="G5" i="3"/>
  <c r="F6" i="3" s="1"/>
  <c r="G4" i="3"/>
  <c r="E19" i="6"/>
  <c r="F19" i="6"/>
  <c r="F91" i="7" l="1"/>
  <c r="E91" i="7"/>
  <c r="F90" i="7"/>
  <c r="D91" i="7" s="1"/>
  <c r="E90" i="7"/>
  <c r="F89" i="7"/>
  <c r="H90" i="7" s="1"/>
  <c r="I90" i="7" s="1"/>
  <c r="E89" i="7"/>
  <c r="F88" i="7"/>
  <c r="H89" i="7" s="1"/>
  <c r="I89" i="7" s="1"/>
  <c r="E88" i="7"/>
  <c r="F87" i="7"/>
  <c r="H88" i="7" s="1"/>
  <c r="I88" i="7" s="1"/>
  <c r="E87" i="7"/>
  <c r="F86" i="7"/>
  <c r="H87" i="7" s="1"/>
  <c r="I87" i="7" s="1"/>
  <c r="E86" i="7"/>
  <c r="F85" i="7"/>
  <c r="E85" i="7"/>
  <c r="F84" i="7"/>
  <c r="H85" i="7" s="1"/>
  <c r="I85" i="7" s="1"/>
  <c r="E84" i="7"/>
  <c r="F83" i="7"/>
  <c r="E83" i="7"/>
  <c r="F82" i="7"/>
  <c r="H83" i="7" s="1"/>
  <c r="I83" i="7" s="1"/>
  <c r="E82" i="7"/>
  <c r="F81" i="7"/>
  <c r="H82" i="7" s="1"/>
  <c r="I82" i="7" s="1"/>
  <c r="E81" i="7"/>
  <c r="F80" i="7"/>
  <c r="H81" i="7" s="1"/>
  <c r="I81" i="7" s="1"/>
  <c r="E80" i="7"/>
  <c r="F79" i="7"/>
  <c r="H80" i="7" s="1"/>
  <c r="I80" i="7" s="1"/>
  <c r="E79" i="7"/>
  <c r="F78" i="7"/>
  <c r="E78" i="7"/>
  <c r="F77" i="7"/>
  <c r="H78" i="7" s="1"/>
  <c r="I78" i="7" s="1"/>
  <c r="E77" i="7"/>
  <c r="F76" i="7"/>
  <c r="H77" i="7" s="1"/>
  <c r="I77" i="7" s="1"/>
  <c r="E76" i="7"/>
  <c r="F75" i="7"/>
  <c r="D76" i="7" s="1"/>
  <c r="E75" i="7"/>
  <c r="F74" i="7"/>
  <c r="H75" i="7" s="1"/>
  <c r="I75" i="7" s="1"/>
  <c r="E74" i="7"/>
  <c r="F73" i="7"/>
  <c r="E73" i="7"/>
  <c r="A73" i="7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F72" i="7"/>
  <c r="H73" i="7" s="1"/>
  <c r="I73" i="7" s="1"/>
  <c r="F62" i="7"/>
  <c r="E62" i="7"/>
  <c r="F61" i="7"/>
  <c r="E61" i="7"/>
  <c r="F60" i="7"/>
  <c r="E60" i="7"/>
  <c r="F59" i="7"/>
  <c r="E59" i="7"/>
  <c r="F58" i="7"/>
  <c r="E58" i="7"/>
  <c r="F57" i="7"/>
  <c r="E57" i="7"/>
  <c r="F56" i="7"/>
  <c r="E56" i="7"/>
  <c r="F55" i="7"/>
  <c r="D56" i="7" s="1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A45" i="7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F44" i="7"/>
  <c r="E34" i="7"/>
  <c r="F34" i="7"/>
  <c r="E31" i="7"/>
  <c r="F31" i="7"/>
  <c r="H32" i="7" s="1"/>
  <c r="I32" i="7" s="1"/>
  <c r="E32" i="7"/>
  <c r="F32" i="7"/>
  <c r="D33" i="7" s="1"/>
  <c r="E33" i="7"/>
  <c r="F33" i="7"/>
  <c r="H34" i="7" s="1"/>
  <c r="I34" i="7" s="1"/>
  <c r="F30" i="7"/>
  <c r="H31" i="7" s="1"/>
  <c r="I31" i="7" s="1"/>
  <c r="E30" i="7"/>
  <c r="F29" i="7"/>
  <c r="H30" i="7" s="1"/>
  <c r="I30" i="7" s="1"/>
  <c r="E29" i="7"/>
  <c r="F28" i="7"/>
  <c r="H29" i="7" s="1"/>
  <c r="I29" i="7" s="1"/>
  <c r="E28" i="7"/>
  <c r="F27" i="7"/>
  <c r="H28" i="7" s="1"/>
  <c r="I28" i="7" s="1"/>
  <c r="E27" i="7"/>
  <c r="F26" i="7"/>
  <c r="D27" i="7" s="1"/>
  <c r="E26" i="7"/>
  <c r="F25" i="7"/>
  <c r="H26" i="7" s="1"/>
  <c r="I26" i="7" s="1"/>
  <c r="E25" i="7"/>
  <c r="F24" i="7"/>
  <c r="E24" i="7"/>
  <c r="F23" i="7"/>
  <c r="D24" i="7" s="1"/>
  <c r="E23" i="7"/>
  <c r="F22" i="7"/>
  <c r="H23" i="7" s="1"/>
  <c r="I23" i="7" s="1"/>
  <c r="E22" i="7"/>
  <c r="F21" i="7"/>
  <c r="H22" i="7" s="1"/>
  <c r="I22" i="7" s="1"/>
  <c r="E21" i="7"/>
  <c r="F20" i="7"/>
  <c r="H21" i="7" s="1"/>
  <c r="I21" i="7" s="1"/>
  <c r="E20" i="7"/>
  <c r="F19" i="7"/>
  <c r="H20" i="7" s="1"/>
  <c r="I20" i="7" s="1"/>
  <c r="E19" i="7"/>
  <c r="F18" i="7"/>
  <c r="H19" i="7" s="1"/>
  <c r="I19" i="7" s="1"/>
  <c r="E18" i="7"/>
  <c r="F17" i="7"/>
  <c r="D18" i="7" s="1"/>
  <c r="E17" i="7"/>
  <c r="F16" i="7"/>
  <c r="H17" i="7" s="1"/>
  <c r="I17" i="7" s="1"/>
  <c r="E16" i="7"/>
  <c r="F15" i="7"/>
  <c r="E15" i="7"/>
  <c r="F14" i="7"/>
  <c r="H15" i="7" s="1"/>
  <c r="I15" i="7" s="1"/>
  <c r="E14" i="7"/>
  <c r="F13" i="7"/>
  <c r="H14" i="7" s="1"/>
  <c r="I14" i="7" s="1"/>
  <c r="E13" i="7"/>
  <c r="F12" i="7"/>
  <c r="H13" i="7" s="1"/>
  <c r="I13" i="7" s="1"/>
  <c r="E12" i="7"/>
  <c r="F11" i="7"/>
  <c r="H12" i="7" s="1"/>
  <c r="I12" i="7" s="1"/>
  <c r="E11" i="7"/>
  <c r="F10" i="7"/>
  <c r="H11" i="7" s="1"/>
  <c r="I11" i="7" s="1"/>
  <c r="E10" i="7"/>
  <c r="F9" i="7"/>
  <c r="E9" i="7"/>
  <c r="F8" i="7"/>
  <c r="H9" i="7" s="1"/>
  <c r="I9" i="7" s="1"/>
  <c r="E8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F7" i="7"/>
  <c r="H8" i="7" s="1"/>
  <c r="I8" i="7" s="1"/>
  <c r="F41" i="6"/>
  <c r="E41" i="6"/>
  <c r="F40" i="6"/>
  <c r="H41" i="6" s="1"/>
  <c r="I41" i="6" s="1"/>
  <c r="E40" i="6"/>
  <c r="F39" i="6"/>
  <c r="H40" i="6" s="1"/>
  <c r="I40" i="6" s="1"/>
  <c r="E39" i="6"/>
  <c r="H38" i="6"/>
  <c r="I38" i="6" s="1"/>
  <c r="F38" i="6"/>
  <c r="E38" i="6"/>
  <c r="F37" i="6"/>
  <c r="E37" i="6"/>
  <c r="F36" i="6"/>
  <c r="H37" i="6" s="1"/>
  <c r="I37" i="6" s="1"/>
  <c r="E36" i="6"/>
  <c r="F35" i="6"/>
  <c r="H36" i="6" s="1"/>
  <c r="I36" i="6" s="1"/>
  <c r="E35" i="6"/>
  <c r="H34" i="6"/>
  <c r="I34" i="6" s="1"/>
  <c r="F34" i="6"/>
  <c r="H35" i="6" s="1"/>
  <c r="I35" i="6" s="1"/>
  <c r="E34" i="6"/>
  <c r="F33" i="6"/>
  <c r="E33" i="6"/>
  <c r="F32" i="6"/>
  <c r="H33" i="6" s="1"/>
  <c r="I33" i="6" s="1"/>
  <c r="E32" i="6"/>
  <c r="F31" i="6"/>
  <c r="E31" i="6"/>
  <c r="F30" i="6"/>
  <c r="E30" i="6"/>
  <c r="A30" i="6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F29" i="6"/>
  <c r="H30" i="6" s="1"/>
  <c r="I30" i="6" s="1"/>
  <c r="F18" i="6"/>
  <c r="E18" i="6"/>
  <c r="F17" i="6"/>
  <c r="D18" i="6" s="1"/>
  <c r="E17" i="6"/>
  <c r="F16" i="6"/>
  <c r="H17" i="6" s="1"/>
  <c r="I17" i="6" s="1"/>
  <c r="E16" i="6"/>
  <c r="F15" i="6"/>
  <c r="E15" i="6"/>
  <c r="F14" i="6"/>
  <c r="H15" i="6" s="1"/>
  <c r="I15" i="6" s="1"/>
  <c r="E14" i="6"/>
  <c r="F13" i="6"/>
  <c r="H14" i="6" s="1"/>
  <c r="I14" i="6" s="1"/>
  <c r="E13" i="6"/>
  <c r="F12" i="6"/>
  <c r="H13" i="6" s="1"/>
  <c r="I13" i="6" s="1"/>
  <c r="E12" i="6"/>
  <c r="F11" i="6"/>
  <c r="H12" i="6" s="1"/>
  <c r="I12" i="6" s="1"/>
  <c r="E11" i="6"/>
  <c r="F10" i="6"/>
  <c r="E10" i="6"/>
  <c r="F9" i="6"/>
  <c r="H10" i="6" s="1"/>
  <c r="I10" i="6" s="1"/>
  <c r="E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F8" i="6"/>
  <c r="H9" i="6" s="1"/>
  <c r="I9" i="6" s="1"/>
  <c r="E8" i="6"/>
  <c r="A8" i="6"/>
  <c r="F7" i="6"/>
  <c r="H8" i="6" s="1"/>
  <c r="I8" i="6" s="1"/>
  <c r="F40" i="5"/>
  <c r="E40" i="5"/>
  <c r="F39" i="5"/>
  <c r="E39" i="5"/>
  <c r="F38" i="5"/>
  <c r="E38" i="5"/>
  <c r="F37" i="5"/>
  <c r="E37" i="5"/>
  <c r="F36" i="5"/>
  <c r="H37" i="5" s="1"/>
  <c r="I37" i="5" s="1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F29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F7" i="5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F33" i="4"/>
  <c r="F34" i="4"/>
  <c r="H35" i="4" s="1"/>
  <c r="I35" i="4" s="1"/>
  <c r="E34" i="4"/>
  <c r="A34" i="4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H34" i="4"/>
  <c r="I34" i="4" s="1"/>
  <c r="E22" i="4"/>
  <c r="F22" i="4"/>
  <c r="E23" i="4"/>
  <c r="F23" i="4"/>
  <c r="E20" i="4"/>
  <c r="F20" i="4"/>
  <c r="H21" i="4" s="1"/>
  <c r="I21" i="4" s="1"/>
  <c r="E21" i="4"/>
  <c r="F21" i="4"/>
  <c r="H22" i="4" s="1"/>
  <c r="I22" i="4" s="1"/>
  <c r="E9" i="4"/>
  <c r="F9" i="4"/>
  <c r="H10" i="4" s="1"/>
  <c r="I10" i="4" s="1"/>
  <c r="E10" i="4"/>
  <c r="F10" i="4"/>
  <c r="E11" i="4"/>
  <c r="F11" i="4"/>
  <c r="H12" i="4" s="1"/>
  <c r="I12" i="4" s="1"/>
  <c r="E12" i="4"/>
  <c r="F12" i="4"/>
  <c r="E13" i="4"/>
  <c r="F13" i="4"/>
  <c r="H14" i="4" s="1"/>
  <c r="I14" i="4" s="1"/>
  <c r="E14" i="4"/>
  <c r="F14" i="4"/>
  <c r="E15" i="4"/>
  <c r="F15" i="4"/>
  <c r="H16" i="4" s="1"/>
  <c r="I16" i="4" s="1"/>
  <c r="E16" i="4"/>
  <c r="F16" i="4"/>
  <c r="E17" i="4"/>
  <c r="F17" i="4"/>
  <c r="H18" i="4" s="1"/>
  <c r="I18" i="4" s="1"/>
  <c r="E18" i="4"/>
  <c r="F18" i="4"/>
  <c r="E19" i="4"/>
  <c r="F19" i="4"/>
  <c r="H20" i="4" s="1"/>
  <c r="I20" i="4" s="1"/>
  <c r="E8" i="4"/>
  <c r="F8" i="4"/>
  <c r="H9" i="4" s="1"/>
  <c r="I9" i="4" s="1"/>
  <c r="F7" i="4"/>
  <c r="D86" i="7" l="1"/>
  <c r="H19" i="6"/>
  <c r="I19" i="6" s="1"/>
  <c r="D19" i="6"/>
  <c r="D32" i="6"/>
  <c r="D38" i="6"/>
  <c r="D9" i="6"/>
  <c r="D46" i="4"/>
  <c r="D35" i="4"/>
  <c r="D40" i="4"/>
  <c r="D50" i="4"/>
  <c r="D44" i="4"/>
  <c r="D38" i="4"/>
  <c r="D39" i="6"/>
  <c r="D30" i="6"/>
  <c r="D31" i="6"/>
  <c r="D11" i="6"/>
  <c r="D15" i="4"/>
  <c r="D22" i="4"/>
  <c r="D9" i="4"/>
  <c r="D8" i="4"/>
  <c r="H8" i="4"/>
  <c r="I8" i="4" s="1"/>
  <c r="D21" i="4"/>
  <c r="D20" i="4"/>
  <c r="D11" i="4"/>
  <c r="D81" i="7"/>
  <c r="D90" i="7"/>
  <c r="H76" i="7"/>
  <c r="I76" i="7" s="1"/>
  <c r="D83" i="7"/>
  <c r="D85" i="7"/>
  <c r="D79" i="7"/>
  <c r="D74" i="7"/>
  <c r="D84" i="7"/>
  <c r="D78" i="7"/>
  <c r="H74" i="7"/>
  <c r="I74" i="7" s="1"/>
  <c r="H86" i="7"/>
  <c r="I86" i="7" s="1"/>
  <c r="H79" i="7"/>
  <c r="I79" i="7" s="1"/>
  <c r="D88" i="7"/>
  <c r="H91" i="7"/>
  <c r="I91" i="7" s="1"/>
  <c r="H84" i="7"/>
  <c r="I84" i="7" s="1"/>
  <c r="D73" i="7"/>
  <c r="D75" i="7"/>
  <c r="D87" i="7"/>
  <c r="D82" i="7"/>
  <c r="D80" i="7"/>
  <c r="D77" i="7"/>
  <c r="D89" i="7"/>
  <c r="H56" i="7"/>
  <c r="I56" i="7" s="1"/>
  <c r="H62" i="7"/>
  <c r="I62" i="7" s="1"/>
  <c r="H50" i="7"/>
  <c r="I50" i="7" s="1"/>
  <c r="H45" i="7"/>
  <c r="I45" i="7" s="1"/>
  <c r="H49" i="7"/>
  <c r="I49" i="7" s="1"/>
  <c r="H55" i="7"/>
  <c r="I55" i="7" s="1"/>
  <c r="H61" i="7"/>
  <c r="I61" i="7" s="1"/>
  <c r="H57" i="7"/>
  <c r="I57" i="7" s="1"/>
  <c r="H52" i="7"/>
  <c r="I52" i="7" s="1"/>
  <c r="H47" i="7"/>
  <c r="I47" i="7" s="1"/>
  <c r="H53" i="7"/>
  <c r="I53" i="7" s="1"/>
  <c r="H59" i="7"/>
  <c r="I59" i="7" s="1"/>
  <c r="H54" i="7"/>
  <c r="I54" i="7" s="1"/>
  <c r="D58" i="7"/>
  <c r="D10" i="7"/>
  <c r="H10" i="7"/>
  <c r="I10" i="7" s="1"/>
  <c r="D47" i="7"/>
  <c r="D34" i="7"/>
  <c r="D60" i="7"/>
  <c r="D52" i="7"/>
  <c r="H60" i="7"/>
  <c r="I60" i="7" s="1"/>
  <c r="H48" i="7"/>
  <c r="I48" i="7" s="1"/>
  <c r="D53" i="7"/>
  <c r="D57" i="7"/>
  <c r="D61" i="7"/>
  <c r="D45" i="7"/>
  <c r="D49" i="7"/>
  <c r="H18" i="7"/>
  <c r="I18" i="7" s="1"/>
  <c r="D19" i="7"/>
  <c r="D31" i="7"/>
  <c r="D46" i="7"/>
  <c r="D50" i="7"/>
  <c r="D25" i="7"/>
  <c r="D30" i="7"/>
  <c r="D51" i="7"/>
  <c r="D15" i="7"/>
  <c r="H25" i="7"/>
  <c r="I25" i="7" s="1"/>
  <c r="H46" i="7"/>
  <c r="I46" i="7" s="1"/>
  <c r="D55" i="7"/>
  <c r="H58" i="7"/>
  <c r="I58" i="7" s="1"/>
  <c r="D48" i="7"/>
  <c r="H51" i="7"/>
  <c r="I51" i="7" s="1"/>
  <c r="D62" i="7"/>
  <c r="D59" i="7"/>
  <c r="D54" i="7"/>
  <c r="D32" i="7"/>
  <c r="H33" i="7"/>
  <c r="I33" i="7" s="1"/>
  <c r="D12" i="7"/>
  <c r="D9" i="7"/>
  <c r="D13" i="7"/>
  <c r="H16" i="7"/>
  <c r="I16" i="7" s="1"/>
  <c r="H27" i="7"/>
  <c r="I27" i="7" s="1"/>
  <c r="H24" i="7"/>
  <c r="I24" i="7" s="1"/>
  <c r="D16" i="7"/>
  <c r="D21" i="7"/>
  <c r="D28" i="7"/>
  <c r="D22" i="7"/>
  <c r="D8" i="7"/>
  <c r="D11" i="7"/>
  <c r="D14" i="7"/>
  <c r="D17" i="7"/>
  <c r="D20" i="7"/>
  <c r="D23" i="7"/>
  <c r="D26" i="7"/>
  <c r="D29" i="7"/>
  <c r="D36" i="6"/>
  <c r="H31" i="6"/>
  <c r="I31" i="6" s="1"/>
  <c r="D34" i="6"/>
  <c r="H18" i="6"/>
  <c r="I18" i="6" s="1"/>
  <c r="D10" i="6"/>
  <c r="H32" i="6"/>
  <c r="I32" i="6" s="1"/>
  <c r="D37" i="6"/>
  <c r="H39" i="6"/>
  <c r="I39" i="6" s="1"/>
  <c r="D14" i="6"/>
  <c r="D15" i="6"/>
  <c r="D16" i="6"/>
  <c r="H11" i="6"/>
  <c r="I11" i="6" s="1"/>
  <c r="H16" i="6"/>
  <c r="I16" i="6" s="1"/>
  <c r="D13" i="6"/>
  <c r="D41" i="6"/>
  <c r="D8" i="6"/>
  <c r="D17" i="6"/>
  <c r="D33" i="6"/>
  <c r="D12" i="6"/>
  <c r="D40" i="6"/>
  <c r="D35" i="6"/>
  <c r="D39" i="5"/>
  <c r="D18" i="5"/>
  <c r="H18" i="5"/>
  <c r="I18" i="5" s="1"/>
  <c r="D32" i="5"/>
  <c r="H34" i="5"/>
  <c r="I34" i="5" s="1"/>
  <c r="H32" i="5"/>
  <c r="I32" i="5" s="1"/>
  <c r="H33" i="5"/>
  <c r="I33" i="5" s="1"/>
  <c r="H31" i="5"/>
  <c r="I31" i="5" s="1"/>
  <c r="H17" i="5"/>
  <c r="I17" i="5" s="1"/>
  <c r="H10" i="5"/>
  <c r="I10" i="5" s="1"/>
  <c r="H13" i="5"/>
  <c r="I13" i="5" s="1"/>
  <c r="H12" i="5"/>
  <c r="I12" i="5" s="1"/>
  <c r="H9" i="5"/>
  <c r="I9" i="5" s="1"/>
  <c r="H11" i="5"/>
  <c r="I11" i="5" s="1"/>
  <c r="H38" i="5"/>
  <c r="I38" i="5" s="1"/>
  <c r="H40" i="5"/>
  <c r="I40" i="5" s="1"/>
  <c r="H35" i="5"/>
  <c r="I35" i="5" s="1"/>
  <c r="H36" i="5"/>
  <c r="I36" i="5" s="1"/>
  <c r="H30" i="5"/>
  <c r="I30" i="5" s="1"/>
  <c r="H19" i="5"/>
  <c r="I19" i="5" s="1"/>
  <c r="H14" i="5"/>
  <c r="I14" i="5" s="1"/>
  <c r="H15" i="5"/>
  <c r="I15" i="5" s="1"/>
  <c r="H16" i="5"/>
  <c r="I16" i="5" s="1"/>
  <c r="H8" i="5"/>
  <c r="I8" i="5" s="1"/>
  <c r="D9" i="5"/>
  <c r="D15" i="5"/>
  <c r="D12" i="5"/>
  <c r="D34" i="5"/>
  <c r="D31" i="5"/>
  <c r="D36" i="5"/>
  <c r="D40" i="5"/>
  <c r="D37" i="5"/>
  <c r="H39" i="5"/>
  <c r="I39" i="5" s="1"/>
  <c r="D8" i="5"/>
  <c r="D11" i="5"/>
  <c r="D14" i="5"/>
  <c r="D17" i="5"/>
  <c r="D38" i="5"/>
  <c r="D33" i="5"/>
  <c r="D35" i="5"/>
  <c r="D10" i="5"/>
  <c r="D13" i="5"/>
  <c r="D16" i="5"/>
  <c r="D19" i="5"/>
  <c r="D30" i="5"/>
  <c r="D45" i="4"/>
  <c r="D39" i="4"/>
  <c r="D49" i="4"/>
  <c r="D43" i="4"/>
  <c r="D37" i="4"/>
  <c r="D48" i="4"/>
  <c r="D42" i="4"/>
  <c r="D47" i="4"/>
  <c r="D41" i="4"/>
  <c r="H50" i="4"/>
  <c r="I50" i="4" s="1"/>
  <c r="H48" i="4"/>
  <c r="I48" i="4" s="1"/>
  <c r="H46" i="4"/>
  <c r="I46" i="4" s="1"/>
  <c r="H44" i="4"/>
  <c r="I44" i="4" s="1"/>
  <c r="H42" i="4"/>
  <c r="I42" i="4" s="1"/>
  <c r="H40" i="4"/>
  <c r="I40" i="4" s="1"/>
  <c r="H38" i="4"/>
  <c r="I38" i="4" s="1"/>
  <c r="H36" i="4"/>
  <c r="I36" i="4" s="1"/>
  <c r="D36" i="4"/>
  <c r="H49" i="4"/>
  <c r="I49" i="4" s="1"/>
  <c r="H47" i="4"/>
  <c r="I47" i="4" s="1"/>
  <c r="H45" i="4"/>
  <c r="I45" i="4" s="1"/>
  <c r="H43" i="4"/>
  <c r="I43" i="4" s="1"/>
  <c r="H41" i="4"/>
  <c r="I41" i="4" s="1"/>
  <c r="H39" i="4"/>
  <c r="I39" i="4" s="1"/>
  <c r="H37" i="4"/>
  <c r="I37" i="4" s="1"/>
  <c r="D34" i="4"/>
  <c r="H23" i="4"/>
  <c r="I23" i="4" s="1"/>
  <c r="D23" i="4"/>
  <c r="D19" i="4"/>
  <c r="D17" i="4"/>
  <c r="D13" i="4"/>
  <c r="D18" i="4"/>
  <c r="D16" i="4"/>
  <c r="D14" i="4"/>
  <c r="D12" i="4"/>
  <c r="D10" i="4"/>
  <c r="H19" i="4"/>
  <c r="I19" i="4" s="1"/>
  <c r="H17" i="4"/>
  <c r="I17" i="4" s="1"/>
  <c r="H15" i="4"/>
  <c r="I15" i="4" s="1"/>
  <c r="H13" i="4"/>
  <c r="I13" i="4" s="1"/>
  <c r="H11" i="4"/>
  <c r="I11" i="4" s="1"/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</calcChain>
</file>

<file path=xl/sharedStrings.xml><?xml version="1.0" encoding="utf-8"?>
<sst xmlns="http://schemas.openxmlformats.org/spreadsheetml/2006/main" count="381" uniqueCount="53">
  <si>
    <t>Степень полинома</t>
  </si>
  <si>
    <t>Полином и область интегрирования</t>
  </si>
  <si>
    <t>Аналитическое значение интеграла</t>
  </si>
  <si>
    <t>Число отрезков</t>
  </si>
  <si>
    <t>Численное значение интеграла</t>
  </si>
  <si>
    <t>Погрешность</t>
  </si>
  <si>
    <t>Оценка погрешности по правилу Рунге</t>
  </si>
  <si>
    <t>Уточнение по Ричардсону</t>
  </si>
  <si>
    <t>Погрешность уточнённого решения</t>
  </si>
  <si>
    <t>N</t>
  </si>
  <si>
    <t>m</t>
  </si>
  <si>
    <t>Отношение погрешностей</t>
  </si>
  <si>
    <t>m-1</t>
  </si>
  <si>
    <t>m+1</t>
  </si>
  <si>
    <t>m+2</t>
  </si>
  <si>
    <t>[-3;10]</t>
  </si>
  <si>
    <t>x2 - 4x + 31</t>
  </si>
  <si>
    <t>3x + 2</t>
  </si>
  <si>
    <t>23x3 - 5x2  + 34x +31</t>
  </si>
  <si>
    <t>I*</t>
  </si>
  <si>
    <r>
      <t>I</t>
    </r>
    <r>
      <rPr>
        <sz val="8"/>
        <color theme="1"/>
        <rFont val="Times New Roman"/>
        <family val="1"/>
        <charset val="204"/>
      </rPr>
      <t>h</t>
    </r>
  </si>
  <si>
    <r>
      <t>(I*-I</t>
    </r>
    <r>
      <rPr>
        <sz val="8"/>
        <color theme="1"/>
        <rFont val="Times New Roman"/>
        <family val="1"/>
        <charset val="204"/>
      </rPr>
      <t>2h</t>
    </r>
    <r>
      <rPr>
        <sz val="11"/>
        <color theme="1"/>
        <rFont val="Times New Roman"/>
        <family val="1"/>
        <charset val="204"/>
      </rPr>
      <t>)/(I*-I</t>
    </r>
    <r>
      <rPr>
        <sz val="8"/>
        <color theme="1"/>
        <rFont val="Times New Roman"/>
        <family val="1"/>
        <charset val="204"/>
      </rPr>
      <t>h</t>
    </r>
    <r>
      <rPr>
        <sz val="11"/>
        <color theme="1"/>
        <rFont val="Times New Roman"/>
        <family val="1"/>
        <charset val="204"/>
      </rPr>
      <t>)</t>
    </r>
  </si>
  <si>
    <r>
      <t>(I*-I</t>
    </r>
    <r>
      <rPr>
        <sz val="8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scheme val="minor"/>
      </rPr>
      <t>)</t>
    </r>
  </si>
  <si>
    <r>
      <t>I</t>
    </r>
    <r>
      <rPr>
        <sz val="8"/>
        <color theme="1"/>
        <rFont val="Calibri"/>
        <family val="2"/>
        <charset val="204"/>
        <scheme val="minor"/>
      </rPr>
      <t>R</t>
    </r>
  </si>
  <si>
    <r>
      <t>I*-I</t>
    </r>
    <r>
      <rPr>
        <sz val="8"/>
        <color theme="1"/>
        <rFont val="Calibri"/>
        <family val="2"/>
        <charset val="204"/>
        <scheme val="minor"/>
      </rPr>
      <t>R</t>
    </r>
  </si>
  <si>
    <t>Метод прямоугольников
Порядок метода (порядок аппроксимации) k=2
Теоретическое значение порядка точности: m=1</t>
  </si>
  <si>
    <t>Метод Симпсона
Порядок метода (порядок аппроксимации) k=4
Теоретическое значение порядка точности: m=3</t>
  </si>
  <si>
    <t>2x4+6x3-10x2-7x+21</t>
  </si>
  <si>
    <t>x5-x4+3x3+11x2-2x-9</t>
  </si>
  <si>
    <t>Метод Ньютона-Котеса на 4-х узлах
Порядок метода (порядок аппроксимации) k=4
Теоретическое значение порядка точности: m=3</t>
  </si>
  <si>
    <t>¾</t>
  </si>
  <si>
    <t>Шаг</t>
  </si>
  <si>
    <t>Оценка отношения погрешностей</t>
  </si>
  <si>
    <t>h</t>
  </si>
  <si>
    <r>
      <t>(I</t>
    </r>
    <r>
      <rPr>
        <sz val="8"/>
        <color theme="1"/>
        <rFont val="Times New Roman"/>
        <family val="1"/>
        <charset val="204"/>
      </rPr>
      <t>h/2</t>
    </r>
    <r>
      <rPr>
        <sz val="11"/>
        <color theme="1"/>
        <rFont val="Times New Roman"/>
        <family val="1"/>
        <charset val="204"/>
      </rPr>
      <t>-I</t>
    </r>
    <r>
      <rPr>
        <sz val="8"/>
        <color theme="1"/>
        <rFont val="Times New Roman"/>
        <family val="1"/>
        <charset val="204"/>
      </rPr>
      <t>2h</t>
    </r>
    <r>
      <rPr>
        <sz val="11"/>
        <color theme="1"/>
        <rFont val="Times New Roman"/>
        <family val="1"/>
        <charset val="204"/>
      </rPr>
      <t>)/(I</t>
    </r>
    <r>
      <rPr>
        <sz val="8"/>
        <color theme="1"/>
        <rFont val="Times New Roman"/>
        <family val="1"/>
        <charset val="204"/>
      </rPr>
      <t>h/2</t>
    </r>
    <r>
      <rPr>
        <sz val="11"/>
        <color theme="1"/>
        <rFont val="Times New Roman"/>
        <family val="1"/>
        <charset val="204"/>
      </rPr>
      <t>-I</t>
    </r>
    <r>
      <rPr>
        <sz val="8"/>
        <color theme="1"/>
        <rFont val="Times New Roman"/>
        <family val="1"/>
        <charset val="204"/>
      </rPr>
      <t>h</t>
    </r>
    <r>
      <rPr>
        <sz val="11"/>
        <color theme="1"/>
        <rFont val="Times New Roman"/>
        <family val="1"/>
        <charset val="204"/>
      </rPr>
      <t>)</t>
    </r>
  </si>
  <si>
    <t>Название метода: метод прямоугольников</t>
  </si>
  <si>
    <t>Порядок метода (порядок аппроксимации) k=2</t>
  </si>
  <si>
    <t>x*cosx</t>
  </si>
  <si>
    <t>Интеграл и его аналитическое значение I*=−5.71265</t>
  </si>
  <si>
    <t>Интеграл и его аналитическое значение I*=156493.4833333</t>
  </si>
  <si>
    <t>Название метода: метод Симпсона</t>
  </si>
  <si>
    <t>Порядок метода (порядок аппроксимации) k=4</t>
  </si>
  <si>
    <t>Подынтегральная функция и область интегрирования: x*cosx, [-3;10]</t>
  </si>
  <si>
    <t>Подынтегральная функция и область интегрирования: x5-x4+3x3+11x2-2x-9, [-3;10]</t>
  </si>
  <si>
    <t>Подынтегральная функция и область интегрирования: x7 - 2x5 + 5x3 - 7x, [-3;5]</t>
  </si>
  <si>
    <t>x7 - 2x5 + 5x3 - 7x</t>
  </si>
  <si>
    <t>Название метода: метод Ньютона-Котеса на 4-х узлах</t>
  </si>
  <si>
    <t>Интеграл и его аналитическое значение I*=43666.6666666667</t>
  </si>
  <si>
    <t>Название метода: метод прямоугольников (двойная точность)</t>
  </si>
  <si>
    <t>Название метода: метод Симпсона (двойная точность)</t>
  </si>
  <si>
    <t>Интеграл и его аналитическое значение I*= -5.7126501655493</t>
  </si>
  <si>
    <t>Название метода: метод Ньютона-Котеса на 4х узлах (двойная точность)</t>
  </si>
  <si>
    <r>
      <t>(I</t>
    </r>
    <r>
      <rPr>
        <sz val="8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scheme val="minor"/>
      </rPr>
      <t>-I</t>
    </r>
    <r>
      <rPr>
        <sz val="8"/>
        <color theme="1"/>
        <rFont val="Calibri"/>
        <family val="2"/>
        <charset val="204"/>
        <scheme val="minor"/>
      </rPr>
      <t>2h</t>
    </r>
    <r>
      <rPr>
        <sz val="11"/>
        <color theme="1"/>
        <rFont val="Calibri"/>
        <family val="2"/>
        <scheme val="minor"/>
      </rPr>
      <t>)/(2^k-1)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</si>
</sst>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000000000E+00"/>
    <numFmt numFmtId="166" formatCode="0.0000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9"/>
      <color theme="1"/>
      <name val="Symbol"/>
      <family val="1"/>
      <charset val="2"/>
    </font>
    <font>
      <sz val="8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0" xfId="0" applyNumberFormat="1"/>
    <xf numFmtId="0" fontId="0" fillId="0" borderId="0" xfId="0" applyBorder="1"/>
    <xf numFmtId="164" fontId="6" fillId="0" borderId="0" xfId="0" applyNumberFormat="1" applyFont="1" applyBorder="1" applyAlignment="1">
      <alignment horizontal="center" vertical="center" wrapText="1"/>
    </xf>
    <xf numFmtId="164" fontId="7" fillId="0" borderId="0" xfId="0" applyNumberFormat="1" applyFont="1" applyBorder="1"/>
    <xf numFmtId="0" fontId="7" fillId="0" borderId="0" xfId="0" applyFont="1" applyBorder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164" fontId="0" fillId="0" borderId="0" xfId="0" applyNumberFormat="1" applyFont="1"/>
    <xf numFmtId="0" fontId="0" fillId="0" borderId="0" xfId="0" applyFont="1"/>
    <xf numFmtId="166" fontId="8" fillId="0" borderId="1" xfId="0" applyNumberFormat="1" applyFont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0" xfId="0" applyNumberFormat="1" applyBorder="1"/>
    <xf numFmtId="165" fontId="0" fillId="0" borderId="0" xfId="0" applyNumberFormat="1" applyFont="1" applyBorder="1"/>
    <xf numFmtId="165" fontId="0" fillId="0" borderId="0" xfId="0" applyNumberFormat="1" applyFont="1" applyBorder="1" applyAlignment="1"/>
    <xf numFmtId="166" fontId="0" fillId="0" borderId="0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166" fontId="0" fillId="0" borderId="6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6" fontId="0" fillId="0" borderId="7" xfId="0" applyNumberFormat="1" applyFont="1" applyBorder="1" applyAlignment="1">
      <alignment horizontal="center" vertical="center"/>
    </xf>
    <xf numFmtId="166" fontId="0" fillId="0" borderId="8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6" fontId="0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5" fontId="0" fillId="0" borderId="6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65" fontId="0" fillId="0" borderId="7" xfId="0" applyNumberFormat="1" applyFont="1" applyBorder="1" applyAlignment="1">
      <alignment horizontal="center" vertical="center"/>
    </xf>
    <xf numFmtId="165" fontId="0" fillId="0" borderId="8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1" fontId="9" fillId="0" borderId="17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C7B3-AF89-4B99-AE14-E8DC6F9A5F74}">
  <dimension ref="A1:J36"/>
  <sheetViews>
    <sheetView tabSelected="1" zoomScaleNormal="100" workbookViewId="0">
      <selection activeCell="K9" sqref="K9"/>
    </sheetView>
  </sheetViews>
  <sheetFormatPr defaultRowHeight="15" x14ac:dyDescent="0.25"/>
  <cols>
    <col min="1" max="1" width="4.7109375" bestFit="1" customWidth="1"/>
    <col min="2" max="2" width="19" bestFit="1" customWidth="1"/>
    <col min="3" max="10" width="15.7109375" customWidth="1"/>
  </cols>
  <sheetData>
    <row r="1" spans="1:10" ht="50.1" customHeight="1" x14ac:dyDescent="0.25">
      <c r="A1" s="57" t="s">
        <v>25</v>
      </c>
      <c r="B1" s="58"/>
      <c r="C1" s="58"/>
      <c r="D1" s="58"/>
      <c r="E1" s="58"/>
      <c r="F1" s="58"/>
      <c r="G1" s="58"/>
      <c r="H1" s="58"/>
      <c r="I1" s="58"/>
      <c r="J1" s="59"/>
    </row>
    <row r="2" spans="1:10" ht="117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11</v>
      </c>
      <c r="G2" s="2" t="s">
        <v>5</v>
      </c>
      <c r="H2" s="2" t="s">
        <v>6</v>
      </c>
      <c r="I2" s="2" t="s">
        <v>7</v>
      </c>
      <c r="J2" s="3" t="s">
        <v>8</v>
      </c>
    </row>
    <row r="3" spans="1:10" x14ac:dyDescent="0.25">
      <c r="A3" s="4"/>
      <c r="B3" s="28" t="s">
        <v>15</v>
      </c>
      <c r="C3" s="5" t="s">
        <v>19</v>
      </c>
      <c r="D3" s="5" t="s">
        <v>9</v>
      </c>
      <c r="E3" s="5" t="s">
        <v>20</v>
      </c>
      <c r="F3" s="5" t="s">
        <v>21</v>
      </c>
      <c r="G3" s="23" t="s">
        <v>22</v>
      </c>
      <c r="H3" s="23" t="s">
        <v>52</v>
      </c>
      <c r="I3" s="23" t="s">
        <v>23</v>
      </c>
      <c r="J3" s="6" t="s">
        <v>24</v>
      </c>
    </row>
    <row r="4" spans="1:10" x14ac:dyDescent="0.25">
      <c r="A4" s="4" t="s">
        <v>12</v>
      </c>
      <c r="B4" s="23">
        <v>12477</v>
      </c>
      <c r="C4" s="74">
        <v>162201</v>
      </c>
      <c r="D4" s="75">
        <v>1</v>
      </c>
      <c r="E4" s="74">
        <v>162201</v>
      </c>
      <c r="F4" s="76" t="s">
        <v>30</v>
      </c>
      <c r="G4" s="74">
        <f>C4-E4</f>
        <v>0</v>
      </c>
      <c r="H4" s="76" t="s">
        <v>30</v>
      </c>
      <c r="I4" s="76" t="s">
        <v>30</v>
      </c>
      <c r="J4" s="77" t="s">
        <v>30</v>
      </c>
    </row>
    <row r="5" spans="1:10" x14ac:dyDescent="0.25">
      <c r="A5" s="49" t="s">
        <v>10</v>
      </c>
      <c r="B5" s="60" t="s">
        <v>17</v>
      </c>
      <c r="C5" s="78">
        <v>162.5</v>
      </c>
      <c r="D5" s="79">
        <v>1</v>
      </c>
      <c r="E5" s="78">
        <v>162.5</v>
      </c>
      <c r="F5" s="76" t="s">
        <v>30</v>
      </c>
      <c r="G5" s="74">
        <f t="shared" ref="G5:G10" si="0">C5-E5</f>
        <v>0</v>
      </c>
      <c r="H5" s="76" t="s">
        <v>30</v>
      </c>
      <c r="I5" s="76" t="s">
        <v>30</v>
      </c>
      <c r="J5" s="77" t="s">
        <v>30</v>
      </c>
    </row>
    <row r="6" spans="1:10" x14ac:dyDescent="0.25">
      <c r="A6" s="50"/>
      <c r="B6" s="52"/>
      <c r="C6" s="78">
        <v>162.5</v>
      </c>
      <c r="D6" s="75">
        <v>2</v>
      </c>
      <c r="E6" s="74">
        <v>162.5</v>
      </c>
      <c r="F6" s="74" t="e">
        <f>G5/G6</f>
        <v>#DIV/0!</v>
      </c>
      <c r="G6" s="74">
        <f t="shared" si="0"/>
        <v>0</v>
      </c>
      <c r="H6" s="74">
        <f>(E6-E5)/3</f>
        <v>0</v>
      </c>
      <c r="I6" s="74">
        <f>E6+H6</f>
        <v>162.5</v>
      </c>
      <c r="J6" s="80">
        <f>C6-I6</f>
        <v>0</v>
      </c>
    </row>
    <row r="7" spans="1:10" x14ac:dyDescent="0.25">
      <c r="A7" s="49" t="s">
        <v>13</v>
      </c>
      <c r="B7" s="60" t="s">
        <v>16</v>
      </c>
      <c r="C7" s="78">
        <v>563.33333330000005</v>
      </c>
      <c r="D7" s="79">
        <v>1</v>
      </c>
      <c r="E7" s="78">
        <v>380.25</v>
      </c>
      <c r="F7" s="76" t="s">
        <v>30</v>
      </c>
      <c r="G7" s="74">
        <f t="shared" si="0"/>
        <v>183.08333330000005</v>
      </c>
      <c r="H7" s="76" t="s">
        <v>30</v>
      </c>
      <c r="I7" s="76" t="s">
        <v>30</v>
      </c>
      <c r="J7" s="77" t="s">
        <v>30</v>
      </c>
    </row>
    <row r="8" spans="1:10" x14ac:dyDescent="0.25">
      <c r="A8" s="50"/>
      <c r="B8" s="52"/>
      <c r="C8" s="78">
        <v>563.33333330000005</v>
      </c>
      <c r="D8" s="75">
        <v>2</v>
      </c>
      <c r="E8" s="74">
        <v>517.5625</v>
      </c>
      <c r="F8" s="74">
        <f>G7/G8</f>
        <v>4.0000000021847946</v>
      </c>
      <c r="G8" s="74">
        <f t="shared" si="0"/>
        <v>45.770833300000049</v>
      </c>
      <c r="H8" s="74">
        <f>(E8-E7)/3</f>
        <v>45.770833333333336</v>
      </c>
      <c r="I8" s="74">
        <f>E8+H8</f>
        <v>563.33333333333337</v>
      </c>
      <c r="J8" s="80">
        <f>C8-I8</f>
        <v>-3.3333321880490985E-8</v>
      </c>
    </row>
    <row r="9" spans="1:10" x14ac:dyDescent="0.25">
      <c r="A9" s="49" t="s">
        <v>14</v>
      </c>
      <c r="B9" s="60" t="s">
        <v>18</v>
      </c>
      <c r="C9" s="81">
        <v>57272.583333299997</v>
      </c>
      <c r="D9" s="75">
        <v>1</v>
      </c>
      <c r="E9" s="74">
        <v>13973.375</v>
      </c>
      <c r="F9" s="76" t="s">
        <v>30</v>
      </c>
      <c r="G9" s="74">
        <f t="shared" si="0"/>
        <v>43299.208333299997</v>
      </c>
      <c r="H9" s="76" t="s">
        <v>30</v>
      </c>
      <c r="I9" s="76" t="s">
        <v>30</v>
      </c>
      <c r="J9" s="77" t="s">
        <v>30</v>
      </c>
    </row>
    <row r="10" spans="1:10" ht="15.75" thickBot="1" x14ac:dyDescent="0.3">
      <c r="A10" s="53"/>
      <c r="B10" s="61"/>
      <c r="C10" s="82">
        <v>57272.583333299997</v>
      </c>
      <c r="D10" s="83">
        <v>2</v>
      </c>
      <c r="E10" s="84">
        <v>46447.78125</v>
      </c>
      <c r="F10" s="84">
        <f>G9/G10</f>
        <v>4.0000000000092388</v>
      </c>
      <c r="G10" s="82">
        <f t="shared" si="0"/>
        <v>10824.802083299997</v>
      </c>
      <c r="H10" s="84">
        <f>(E10-E9)/3</f>
        <v>10824.802083333334</v>
      </c>
      <c r="I10" s="84">
        <f>E10+H10</f>
        <v>57272.583333333336</v>
      </c>
      <c r="J10" s="85">
        <f>C10-I10</f>
        <v>-3.3338437788188457E-8</v>
      </c>
    </row>
    <row r="13" spans="1:10" ht="15.75" thickBot="1" x14ac:dyDescent="0.3"/>
    <row r="14" spans="1:10" ht="50.1" customHeight="1" x14ac:dyDescent="0.25">
      <c r="A14" s="57" t="s">
        <v>26</v>
      </c>
      <c r="B14" s="58"/>
      <c r="C14" s="58"/>
      <c r="D14" s="58"/>
      <c r="E14" s="58"/>
      <c r="F14" s="58"/>
      <c r="G14" s="58"/>
      <c r="H14" s="58"/>
      <c r="I14" s="58"/>
      <c r="J14" s="59"/>
    </row>
    <row r="15" spans="1:10" ht="105.75" x14ac:dyDescent="0.2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11</v>
      </c>
      <c r="G15" s="2" t="s">
        <v>5</v>
      </c>
      <c r="H15" s="2" t="s">
        <v>6</v>
      </c>
      <c r="I15" s="2" t="s">
        <v>7</v>
      </c>
      <c r="J15" s="3" t="s">
        <v>8</v>
      </c>
    </row>
    <row r="16" spans="1:10" x14ac:dyDescent="0.25">
      <c r="A16" s="4"/>
      <c r="B16" s="28" t="s">
        <v>15</v>
      </c>
      <c r="C16" s="5" t="s">
        <v>19</v>
      </c>
      <c r="D16" s="5" t="s">
        <v>9</v>
      </c>
      <c r="E16" s="5" t="s">
        <v>20</v>
      </c>
      <c r="F16" s="5" t="s">
        <v>21</v>
      </c>
      <c r="G16" s="23" t="s">
        <v>22</v>
      </c>
      <c r="H16" s="23" t="s">
        <v>52</v>
      </c>
      <c r="I16" s="23" t="s">
        <v>23</v>
      </c>
      <c r="J16" s="6" t="s">
        <v>24</v>
      </c>
    </row>
    <row r="17" spans="1:10" x14ac:dyDescent="0.25">
      <c r="A17" s="4" t="s">
        <v>12</v>
      </c>
      <c r="B17" s="23" t="s">
        <v>16</v>
      </c>
      <c r="C17" s="78">
        <v>563.33333330000005</v>
      </c>
      <c r="D17" s="75">
        <v>1</v>
      </c>
      <c r="E17" s="74">
        <v>563.33331299999998</v>
      </c>
      <c r="F17" s="76" t="s">
        <v>30</v>
      </c>
      <c r="G17" s="74">
        <f>C17-E17</f>
        <v>2.0300000073802948E-5</v>
      </c>
      <c r="H17" s="76" t="s">
        <v>30</v>
      </c>
      <c r="I17" s="76" t="s">
        <v>30</v>
      </c>
      <c r="J17" s="77" t="s">
        <v>30</v>
      </c>
    </row>
    <row r="18" spans="1:10" x14ac:dyDescent="0.25">
      <c r="A18" s="49" t="s">
        <v>10</v>
      </c>
      <c r="B18" s="54" t="s">
        <v>18</v>
      </c>
      <c r="C18" s="81">
        <v>57272.583333299997</v>
      </c>
      <c r="D18" s="79">
        <v>1</v>
      </c>
      <c r="E18" s="78">
        <v>57272.5820313</v>
      </c>
      <c r="F18" s="76" t="s">
        <v>30</v>
      </c>
      <c r="G18" s="74">
        <f t="shared" ref="G18:G22" si="1">C18-E18</f>
        <v>1.3019999969401397E-3</v>
      </c>
      <c r="H18" s="76" t="s">
        <v>30</v>
      </c>
      <c r="I18" s="76" t="s">
        <v>30</v>
      </c>
      <c r="J18" s="77" t="s">
        <v>30</v>
      </c>
    </row>
    <row r="19" spans="1:10" x14ac:dyDescent="0.25">
      <c r="A19" s="50"/>
      <c r="B19" s="54"/>
      <c r="C19" s="81">
        <v>57272.583333299997</v>
      </c>
      <c r="D19" s="75">
        <v>2</v>
      </c>
      <c r="E19" s="74">
        <v>57272.5859375</v>
      </c>
      <c r="F19" s="74">
        <f>G18/G19</f>
        <v>-0.49996159880219443</v>
      </c>
      <c r="G19" s="74">
        <f t="shared" si="1"/>
        <v>-2.6042000026791357E-3</v>
      </c>
      <c r="H19" s="74">
        <f>(E19-E18)/15</f>
        <v>2.6041333330795169E-4</v>
      </c>
      <c r="I19" s="74">
        <f>E19+H19</f>
        <v>57272.586197913333</v>
      </c>
      <c r="J19" s="80">
        <f>C19-I19</f>
        <v>-2.8646133359870873E-3</v>
      </c>
    </row>
    <row r="20" spans="1:10" x14ac:dyDescent="0.25">
      <c r="A20" s="49" t="s">
        <v>13</v>
      </c>
      <c r="B20" s="51" t="s">
        <v>27</v>
      </c>
      <c r="C20" s="86">
        <v>51506.8666667</v>
      </c>
      <c r="D20" s="79">
        <v>1</v>
      </c>
      <c r="E20" s="78">
        <v>57695.0820313</v>
      </c>
      <c r="F20" s="76" t="s">
        <v>30</v>
      </c>
      <c r="G20" s="74">
        <f t="shared" si="1"/>
        <v>-6188.2153646000006</v>
      </c>
      <c r="H20" s="76" t="s">
        <v>30</v>
      </c>
      <c r="I20" s="76" t="s">
        <v>30</v>
      </c>
      <c r="J20" s="77" t="s">
        <v>30</v>
      </c>
    </row>
    <row r="21" spans="1:10" x14ac:dyDescent="0.25">
      <c r="A21" s="50"/>
      <c r="B21" s="52"/>
      <c r="C21" s="86">
        <v>51506.8666667</v>
      </c>
      <c r="D21" s="75">
        <v>2</v>
      </c>
      <c r="E21" s="74">
        <v>51893.6328125</v>
      </c>
      <c r="F21" s="74">
        <f>G20/G21</f>
        <v>15.999888903926909</v>
      </c>
      <c r="G21" s="74">
        <f t="shared" si="1"/>
        <v>-386.76614580000023</v>
      </c>
      <c r="H21" s="74">
        <f>(E21-E20)/15</f>
        <v>-386.76328125333333</v>
      </c>
      <c r="I21" s="74">
        <f>E21+H21</f>
        <v>51506.869531246666</v>
      </c>
      <c r="J21" s="80">
        <f>C21-I21</f>
        <v>-2.8645466663874686E-3</v>
      </c>
    </row>
    <row r="22" spans="1:10" x14ac:dyDescent="0.25">
      <c r="A22" s="49" t="s">
        <v>14</v>
      </c>
      <c r="B22" s="55" t="s">
        <v>28</v>
      </c>
      <c r="C22" s="74">
        <v>157493.48333330001</v>
      </c>
      <c r="D22" s="75">
        <v>1</v>
      </c>
      <c r="E22" s="74">
        <v>208546.265625</v>
      </c>
      <c r="F22" s="76" t="s">
        <v>30</v>
      </c>
      <c r="G22" s="74">
        <f t="shared" si="1"/>
        <v>-51052.782291699987</v>
      </c>
      <c r="H22" s="76" t="s">
        <v>30</v>
      </c>
      <c r="I22" s="76" t="s">
        <v>30</v>
      </c>
      <c r="J22" s="77" t="s">
        <v>30</v>
      </c>
    </row>
    <row r="23" spans="1:10" ht="15.75" thickBot="1" x14ac:dyDescent="0.3">
      <c r="A23" s="53"/>
      <c r="B23" s="56"/>
      <c r="C23" s="87">
        <v>157493.48333330001</v>
      </c>
      <c r="D23" s="83">
        <v>2</v>
      </c>
      <c r="E23" s="84">
        <v>160684.28125</v>
      </c>
      <c r="F23" s="84">
        <f>G22/G23</f>
        <v>16.000004896737622</v>
      </c>
      <c r="G23" s="82">
        <f>C23-E23</f>
        <v>-3190.7979166999867</v>
      </c>
      <c r="H23" s="84">
        <f>(E23-E22)/15</f>
        <v>-3190.7989583333333</v>
      </c>
      <c r="I23" s="84">
        <f>E23+H23</f>
        <v>157493.48229166667</v>
      </c>
      <c r="J23" s="85">
        <f>C23-I23</f>
        <v>1.041633338900283E-3</v>
      </c>
    </row>
    <row r="26" spans="1:10" ht="15.75" thickBot="1" x14ac:dyDescent="0.3"/>
    <row r="27" spans="1:10" ht="50.1" customHeight="1" x14ac:dyDescent="0.25">
      <c r="A27" s="57" t="s">
        <v>29</v>
      </c>
      <c r="B27" s="58"/>
      <c r="C27" s="58"/>
      <c r="D27" s="58"/>
      <c r="E27" s="58"/>
      <c r="F27" s="58"/>
      <c r="G27" s="58"/>
      <c r="H27" s="58"/>
      <c r="I27" s="58"/>
      <c r="J27" s="59"/>
    </row>
    <row r="28" spans="1:10" ht="105.75" x14ac:dyDescent="0.25">
      <c r="A28" s="1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11</v>
      </c>
      <c r="G28" s="2" t="s">
        <v>5</v>
      </c>
      <c r="H28" s="2" t="s">
        <v>6</v>
      </c>
      <c r="I28" s="2" t="s">
        <v>7</v>
      </c>
      <c r="J28" s="3" t="s">
        <v>8</v>
      </c>
    </row>
    <row r="29" spans="1:10" x14ac:dyDescent="0.25">
      <c r="A29" s="4"/>
      <c r="B29" s="28" t="s">
        <v>15</v>
      </c>
      <c r="C29" s="5" t="s">
        <v>19</v>
      </c>
      <c r="D29" s="5" t="s">
        <v>9</v>
      </c>
      <c r="E29" s="5" t="s">
        <v>20</v>
      </c>
      <c r="F29" s="5" t="s">
        <v>21</v>
      </c>
      <c r="G29" s="23" t="s">
        <v>22</v>
      </c>
      <c r="H29" s="23" t="s">
        <v>52</v>
      </c>
      <c r="I29" s="23" t="s">
        <v>23</v>
      </c>
      <c r="J29" s="6" t="s">
        <v>24</v>
      </c>
    </row>
    <row r="30" spans="1:10" x14ac:dyDescent="0.25">
      <c r="A30" s="4" t="s">
        <v>12</v>
      </c>
      <c r="B30" s="23" t="s">
        <v>16</v>
      </c>
      <c r="C30" s="78">
        <v>563.33333330000005</v>
      </c>
      <c r="D30" s="75">
        <v>1</v>
      </c>
      <c r="E30" s="74">
        <v>563.33337400000005</v>
      </c>
      <c r="F30" s="76" t="s">
        <v>30</v>
      </c>
      <c r="G30" s="74">
        <f>C30-E30</f>
        <v>-4.0699999999560532E-5</v>
      </c>
      <c r="H30" s="76" t="s">
        <v>30</v>
      </c>
      <c r="I30" s="76" t="s">
        <v>30</v>
      </c>
      <c r="J30" s="77" t="s">
        <v>30</v>
      </c>
    </row>
    <row r="31" spans="1:10" x14ac:dyDescent="0.25">
      <c r="A31" s="49" t="s">
        <v>10</v>
      </c>
      <c r="B31" s="54" t="s">
        <v>18</v>
      </c>
      <c r="C31" s="81">
        <v>57272.583333299997</v>
      </c>
      <c r="D31" s="79">
        <v>1</v>
      </c>
      <c r="E31" s="78">
        <v>57272.5859375</v>
      </c>
      <c r="F31" s="76" t="s">
        <v>30</v>
      </c>
      <c r="G31" s="74">
        <f t="shared" ref="G31:G36" si="2">C31-E31</f>
        <v>-2.6042000026791357E-3</v>
      </c>
      <c r="H31" s="76" t="s">
        <v>30</v>
      </c>
      <c r="I31" s="76" t="s">
        <v>30</v>
      </c>
      <c r="J31" s="77" t="s">
        <v>30</v>
      </c>
    </row>
    <row r="32" spans="1:10" x14ac:dyDescent="0.25">
      <c r="A32" s="50"/>
      <c r="B32" s="54"/>
      <c r="C32" s="81">
        <v>57272.583333299997</v>
      </c>
      <c r="D32" s="75">
        <v>2</v>
      </c>
      <c r="E32" s="74">
        <v>57272.5898438</v>
      </c>
      <c r="F32" s="74">
        <f>G31/G32</f>
        <v>0.40000000022351456</v>
      </c>
      <c r="G32" s="74">
        <f t="shared" si="2"/>
        <v>-6.5105000030598603E-3</v>
      </c>
      <c r="H32" s="74">
        <f>(E32-E31)/15</f>
        <v>2.6042000002538164E-4</v>
      </c>
      <c r="I32" s="74">
        <f>E32+H32</f>
        <v>57272.590104219998</v>
      </c>
      <c r="J32" s="80">
        <f>C32-I32</f>
        <v>-6.7709200011449866E-3</v>
      </c>
    </row>
    <row r="33" spans="1:10" x14ac:dyDescent="0.25">
      <c r="A33" s="49" t="s">
        <v>13</v>
      </c>
      <c r="B33" s="51" t="s">
        <v>27</v>
      </c>
      <c r="C33" s="86">
        <v>51506.8666667</v>
      </c>
      <c r="D33" s="79">
        <v>1</v>
      </c>
      <c r="E33" s="78">
        <v>54257.1835938</v>
      </c>
      <c r="F33" s="76" t="s">
        <v>30</v>
      </c>
      <c r="G33" s="74">
        <f t="shared" si="2"/>
        <v>-2750.3169271000006</v>
      </c>
      <c r="H33" s="76" t="s">
        <v>30</v>
      </c>
      <c r="I33" s="76" t="s">
        <v>30</v>
      </c>
      <c r="J33" s="77" t="s">
        <v>30</v>
      </c>
    </row>
    <row r="34" spans="1:10" x14ac:dyDescent="0.25">
      <c r="A34" s="50"/>
      <c r="B34" s="52"/>
      <c r="C34" s="86">
        <v>51506.8666667</v>
      </c>
      <c r="D34" s="75">
        <v>2</v>
      </c>
      <c r="E34" s="74">
        <v>51678.7617188</v>
      </c>
      <c r="F34" s="74">
        <f>G33/G34</f>
        <v>15.999977273924051</v>
      </c>
      <c r="G34" s="74">
        <f t="shared" si="2"/>
        <v>-171.89505210000061</v>
      </c>
      <c r="H34" s="74">
        <f>(E34-E33)/15</f>
        <v>-171.89479166666666</v>
      </c>
      <c r="I34" s="74">
        <f>E34+G34</f>
        <v>51506.8666667</v>
      </c>
      <c r="J34" s="80">
        <f>C34-I34</f>
        <v>0</v>
      </c>
    </row>
    <row r="35" spans="1:10" x14ac:dyDescent="0.25">
      <c r="A35" s="49" t="s">
        <v>14</v>
      </c>
      <c r="B35" s="55" t="s">
        <v>28</v>
      </c>
      <c r="C35" s="74">
        <v>157493.48333330001</v>
      </c>
      <c r="D35" s="75">
        <v>1</v>
      </c>
      <c r="E35" s="74">
        <v>180183.609375</v>
      </c>
      <c r="F35" s="76" t="s">
        <v>30</v>
      </c>
      <c r="G35" s="74">
        <f t="shared" si="2"/>
        <v>-22690.126041699987</v>
      </c>
      <c r="H35" s="76" t="s">
        <v>30</v>
      </c>
      <c r="I35" s="76" t="s">
        <v>30</v>
      </c>
      <c r="J35" s="77" t="s">
        <v>30</v>
      </c>
    </row>
    <row r="36" spans="1:10" ht="15.75" thickBot="1" x14ac:dyDescent="0.3">
      <c r="A36" s="53"/>
      <c r="B36" s="56"/>
      <c r="C36" s="87">
        <v>157493.48333330001</v>
      </c>
      <c r="D36" s="83">
        <v>2</v>
      </c>
      <c r="E36" s="84">
        <v>158911.625</v>
      </c>
      <c r="F36" s="84">
        <f>G35/G36</f>
        <v>15.999900838186267</v>
      </c>
      <c r="G36" s="82">
        <f t="shared" si="2"/>
        <v>-1418.1416666999867</v>
      </c>
      <c r="H36" s="84">
        <f>(E36-E35)/15</f>
        <v>-1418.1322916666666</v>
      </c>
      <c r="I36" s="84">
        <f>E36+H36</f>
        <v>157493.49270833333</v>
      </c>
      <c r="J36" s="85">
        <f>C36-I36</f>
        <v>-9.3750333180651069E-3</v>
      </c>
    </row>
  </sheetData>
  <mergeCells count="21">
    <mergeCell ref="A35:A36"/>
    <mergeCell ref="B35:B36"/>
    <mergeCell ref="A1:J1"/>
    <mergeCell ref="A27:J27"/>
    <mergeCell ref="A31:A32"/>
    <mergeCell ref="B31:B32"/>
    <mergeCell ref="A33:A34"/>
    <mergeCell ref="B33:B34"/>
    <mergeCell ref="B5:B6"/>
    <mergeCell ref="B7:B8"/>
    <mergeCell ref="B9:B10"/>
    <mergeCell ref="A5:A6"/>
    <mergeCell ref="A7:A8"/>
    <mergeCell ref="A9:A10"/>
    <mergeCell ref="A14:J14"/>
    <mergeCell ref="A18:A19"/>
    <mergeCell ref="A20:A21"/>
    <mergeCell ref="B20:B21"/>
    <mergeCell ref="A22:A23"/>
    <mergeCell ref="B18:B19"/>
    <mergeCell ref="B22:B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A179-80E6-4B0E-B24C-A12806F60898}">
  <dimension ref="A1:M64"/>
  <sheetViews>
    <sheetView topLeftCell="A18" zoomScaleNormal="100" workbookViewId="0">
      <selection activeCell="G38" sqref="G38"/>
    </sheetView>
  </sheetViews>
  <sheetFormatPr defaultRowHeight="15" x14ac:dyDescent="0.25"/>
  <cols>
    <col min="2" max="9" width="15.7109375" customWidth="1"/>
    <col min="13" max="13" width="10.7109375" bestFit="1" customWidth="1"/>
  </cols>
  <sheetData>
    <row r="1" spans="1:13" x14ac:dyDescent="0.25">
      <c r="A1" s="62" t="s">
        <v>35</v>
      </c>
      <c r="B1" s="63"/>
      <c r="C1" s="63"/>
      <c r="D1" s="63"/>
      <c r="E1" s="63"/>
      <c r="F1" s="63"/>
      <c r="G1" s="63"/>
      <c r="H1" s="63"/>
      <c r="I1" s="64"/>
    </row>
    <row r="2" spans="1:13" x14ac:dyDescent="0.25">
      <c r="A2" s="65" t="s">
        <v>36</v>
      </c>
      <c r="B2" s="66"/>
      <c r="C2" s="66"/>
      <c r="D2" s="66"/>
      <c r="E2" s="66"/>
      <c r="F2" s="66"/>
      <c r="G2" s="66"/>
      <c r="H2" s="66"/>
      <c r="I2" s="67"/>
      <c r="K2" t="s">
        <v>28</v>
      </c>
      <c r="M2">
        <v>157493.48333330001</v>
      </c>
    </row>
    <row r="3" spans="1:13" x14ac:dyDescent="0.25">
      <c r="A3" s="65" t="s">
        <v>42</v>
      </c>
      <c r="B3" s="66"/>
      <c r="C3" s="66"/>
      <c r="D3" s="66"/>
      <c r="E3" s="66"/>
      <c r="F3" s="66"/>
      <c r="G3" s="66"/>
      <c r="H3" s="66"/>
      <c r="I3" s="67"/>
      <c r="K3" t="s">
        <v>37</v>
      </c>
      <c r="M3" s="7">
        <v>-5.71265</v>
      </c>
    </row>
    <row r="4" spans="1:13" x14ac:dyDescent="0.25">
      <c r="A4" s="65" t="s">
        <v>38</v>
      </c>
      <c r="B4" s="66"/>
      <c r="C4" s="66"/>
      <c r="D4" s="66"/>
      <c r="E4" s="66"/>
      <c r="F4" s="66"/>
      <c r="G4" s="66"/>
      <c r="H4" s="66"/>
      <c r="I4" s="67"/>
    </row>
    <row r="5" spans="1:13" ht="120" x14ac:dyDescent="0.25">
      <c r="A5" s="14" t="s">
        <v>3</v>
      </c>
      <c r="B5" s="13" t="s">
        <v>31</v>
      </c>
      <c r="C5" s="13" t="s">
        <v>4</v>
      </c>
      <c r="D5" s="13" t="s">
        <v>11</v>
      </c>
      <c r="E5" s="13" t="s">
        <v>32</v>
      </c>
      <c r="F5" s="13" t="s">
        <v>5</v>
      </c>
      <c r="G5" s="13" t="s">
        <v>6</v>
      </c>
      <c r="H5" s="13" t="s">
        <v>7</v>
      </c>
      <c r="I5" s="15" t="s">
        <v>8</v>
      </c>
    </row>
    <row r="6" spans="1:13" x14ac:dyDescent="0.25">
      <c r="A6" s="16" t="s">
        <v>9</v>
      </c>
      <c r="B6" s="5" t="s">
        <v>33</v>
      </c>
      <c r="C6" s="5" t="s">
        <v>20</v>
      </c>
      <c r="D6" s="5" t="s">
        <v>21</v>
      </c>
      <c r="E6" s="5" t="s">
        <v>34</v>
      </c>
      <c r="F6" s="12" t="s">
        <v>22</v>
      </c>
      <c r="G6" s="23" t="s">
        <v>52</v>
      </c>
      <c r="H6" s="12" t="s">
        <v>23</v>
      </c>
      <c r="I6" s="6" t="s">
        <v>24</v>
      </c>
    </row>
    <row r="7" spans="1:13" x14ac:dyDescent="0.25">
      <c r="A7" s="29">
        <v>1</v>
      </c>
      <c r="B7" s="30">
        <v>13</v>
      </c>
      <c r="C7" s="30">
        <v>-42.608780000000003</v>
      </c>
      <c r="D7" s="19" t="s">
        <v>30</v>
      </c>
      <c r="E7" s="19" t="s">
        <v>30</v>
      </c>
      <c r="F7" s="30">
        <f>$M$3-C7</f>
        <v>36.896129999999999</v>
      </c>
      <c r="G7" s="19" t="s">
        <v>30</v>
      </c>
      <c r="H7" s="19" t="s">
        <v>30</v>
      </c>
      <c r="I7" s="20" t="s">
        <v>30</v>
      </c>
      <c r="K7" s="9"/>
    </row>
    <row r="8" spans="1:13" x14ac:dyDescent="0.25">
      <c r="A8" s="29">
        <f>A7*2</f>
        <v>2</v>
      </c>
      <c r="B8" s="30">
        <v>6.5</v>
      </c>
      <c r="C8" s="30">
        <v>40.755138000000002</v>
      </c>
      <c r="D8" s="30">
        <f>F7/F8</f>
        <v>-0.79401520037923912</v>
      </c>
      <c r="E8" s="30">
        <f>(C9-C7)/(C9-C8)</f>
        <v>-0.65670495420830133</v>
      </c>
      <c r="F8" s="30">
        <f>$M$3-C8</f>
        <v>-46.467787999999999</v>
      </c>
      <c r="G8" s="30">
        <f>(C8-C7)/3</f>
        <v>27.787972666666672</v>
      </c>
      <c r="H8" s="30">
        <f>C8+G8</f>
        <v>68.543110666666678</v>
      </c>
      <c r="I8" s="31">
        <f>$M$3-H8</f>
        <v>-74.255760666666674</v>
      </c>
    </row>
    <row r="9" spans="1:13" x14ac:dyDescent="0.25">
      <c r="A9" s="29">
        <f t="shared" ref="A9:A23" si="0">A8*2</f>
        <v>4</v>
      </c>
      <c r="B9" s="30">
        <v>3.25</v>
      </c>
      <c r="C9" s="30">
        <v>-9.5639714999999992</v>
      </c>
      <c r="D9" s="30">
        <f t="shared" ref="D9:D19" si="1">F8/F9</f>
        <v>-12.065413910523962</v>
      </c>
      <c r="E9" s="30">
        <f t="shared" ref="E9:E19" si="2">(C10-C8)/(C10-C9)</f>
        <v>-15.066924619022439</v>
      </c>
      <c r="F9" s="30">
        <f t="shared" ref="F9:F19" si="3">$M$3-C9</f>
        <v>3.8513214999999992</v>
      </c>
      <c r="G9" s="30">
        <f t="shared" ref="G9:G23" si="4">(C9-C8)/3</f>
        <v>-16.7730365</v>
      </c>
      <c r="H9" s="30">
        <f t="shared" ref="H9:H19" si="5">C9+G9</f>
        <v>-26.337007999999997</v>
      </c>
      <c r="I9" s="31">
        <f t="shared" ref="I9:I23" si="6">$M$3-H9</f>
        <v>20.624357999999997</v>
      </c>
    </row>
    <row r="10" spans="1:13" x14ac:dyDescent="0.25">
      <c r="A10" s="29">
        <f t="shared" si="0"/>
        <v>8</v>
      </c>
      <c r="B10" s="30">
        <v>1.625</v>
      </c>
      <c r="C10" s="30">
        <v>-6.4321270000000004</v>
      </c>
      <c r="D10" s="30">
        <f t="shared" si="1"/>
        <v>5.3529459593565845</v>
      </c>
      <c r="E10" s="30">
        <f t="shared" si="2"/>
        <v>6.6877321766008579</v>
      </c>
      <c r="F10" s="30">
        <f t="shared" si="3"/>
        <v>0.71947700000000037</v>
      </c>
      <c r="G10" s="30">
        <f t="shared" si="4"/>
        <v>1.0439481666666663</v>
      </c>
      <c r="H10" s="30">
        <f t="shared" si="5"/>
        <v>-5.3881788333333338</v>
      </c>
      <c r="I10" s="31">
        <f t="shared" si="6"/>
        <v>-0.3244711666666662</v>
      </c>
    </row>
    <row r="11" spans="1:13" x14ac:dyDescent="0.25">
      <c r="A11" s="29">
        <f t="shared" si="0"/>
        <v>16</v>
      </c>
      <c r="B11" s="30">
        <v>0.8125</v>
      </c>
      <c r="C11" s="30">
        <v>-5.8814954999999998</v>
      </c>
      <c r="D11" s="30">
        <f t="shared" si="1"/>
        <v>4.261155908804211</v>
      </c>
      <c r="E11" s="30">
        <f t="shared" si="2"/>
        <v>5.3262655134809185</v>
      </c>
      <c r="F11" s="30">
        <f t="shared" si="3"/>
        <v>0.16884549999999976</v>
      </c>
      <c r="G11" s="30">
        <f t="shared" si="4"/>
        <v>0.18354383333333354</v>
      </c>
      <c r="H11" s="30">
        <f t="shared" si="5"/>
        <v>-5.6979516666666665</v>
      </c>
      <c r="I11" s="31">
        <f t="shared" si="6"/>
        <v>-1.469833333333348E-2</v>
      </c>
    </row>
    <row r="12" spans="1:13" x14ac:dyDescent="0.25">
      <c r="A12" s="29">
        <f t="shared" si="0"/>
        <v>32</v>
      </c>
      <c r="B12" s="30">
        <v>0.40625</v>
      </c>
      <c r="C12" s="30">
        <v>-5.7542191000000003</v>
      </c>
      <c r="D12" s="30">
        <f t="shared" si="1"/>
        <v>4.061803118181504</v>
      </c>
      <c r="E12" s="30">
        <f t="shared" si="2"/>
        <v>5.0772547587470127</v>
      </c>
      <c r="F12" s="30">
        <f t="shared" si="3"/>
        <v>4.1569100000000248E-2</v>
      </c>
      <c r="G12" s="30">
        <f t="shared" si="4"/>
        <v>4.2425466666666502E-2</v>
      </c>
      <c r="H12" s="30">
        <f t="shared" si="5"/>
        <v>-5.7117936333333335</v>
      </c>
      <c r="I12" s="31">
        <f t="shared" si="6"/>
        <v>-8.5636666666655259E-4</v>
      </c>
    </row>
    <row r="13" spans="1:13" x14ac:dyDescent="0.25">
      <c r="A13" s="29">
        <f t="shared" si="0"/>
        <v>64</v>
      </c>
      <c r="B13" s="30">
        <v>0.203125</v>
      </c>
      <c r="C13" s="30">
        <v>-5.7230029</v>
      </c>
      <c r="D13" s="30">
        <f t="shared" si="1"/>
        <v>4.0152131286886048</v>
      </c>
      <c r="E13" s="30">
        <f t="shared" si="2"/>
        <v>5.018252967072427</v>
      </c>
      <c r="F13" s="30">
        <f t="shared" si="3"/>
        <v>1.0352899999999998E-2</v>
      </c>
      <c r="G13" s="30">
        <f t="shared" si="4"/>
        <v>1.0405400000000084E-2</v>
      </c>
      <c r="H13" s="30">
        <f t="shared" si="5"/>
        <v>-5.7125975000000002</v>
      </c>
      <c r="I13" s="31">
        <f t="shared" si="6"/>
        <v>-5.2499999999788827E-5</v>
      </c>
    </row>
    <row r="14" spans="1:13" x14ac:dyDescent="0.25">
      <c r="A14" s="29">
        <f t="shared" si="0"/>
        <v>128</v>
      </c>
      <c r="B14" s="30">
        <v>0.1015625</v>
      </c>
      <c r="C14" s="30">
        <v>-5.7152342999999997</v>
      </c>
      <c r="D14" s="30">
        <f t="shared" si="1"/>
        <v>4.0060751460749131</v>
      </c>
      <c r="E14" s="30">
        <f t="shared" si="2"/>
        <v>5.0069114916453756</v>
      </c>
      <c r="F14" s="30">
        <f t="shared" si="3"/>
        <v>2.5842999999996508E-3</v>
      </c>
      <c r="G14" s="30">
        <f t="shared" si="4"/>
        <v>2.5895333333334491E-3</v>
      </c>
      <c r="H14" s="30">
        <f t="shared" si="5"/>
        <v>-5.7126447666666662</v>
      </c>
      <c r="I14" s="31">
        <f t="shared" si="6"/>
        <v>-5.2333333337983845E-6</v>
      </c>
    </row>
    <row r="15" spans="1:13" x14ac:dyDescent="0.25">
      <c r="A15" s="29">
        <f t="shared" si="0"/>
        <v>256</v>
      </c>
      <c r="B15" s="30">
        <v>5.078125E-2</v>
      </c>
      <c r="C15" s="30">
        <v>-5.7132955000000001</v>
      </c>
      <c r="D15" s="30">
        <f t="shared" si="1"/>
        <v>4.0035631293560714</v>
      </c>
      <c r="E15" s="30">
        <f t="shared" si="2"/>
        <v>4.9901214241592413</v>
      </c>
      <c r="F15" s="30">
        <f t="shared" si="3"/>
        <v>6.4550000000007657E-4</v>
      </c>
      <c r="G15" s="30">
        <f t="shared" si="4"/>
        <v>6.4626666666652477E-4</v>
      </c>
      <c r="H15" s="30">
        <f t="shared" si="5"/>
        <v>-5.7126492333333339</v>
      </c>
      <c r="I15" s="31">
        <f t="shared" si="6"/>
        <v>-7.6666666615210488E-7</v>
      </c>
    </row>
    <row r="16" spans="1:13" x14ac:dyDescent="0.25">
      <c r="A16" s="29">
        <f t="shared" si="0"/>
        <v>512</v>
      </c>
      <c r="B16" s="30">
        <v>2.5390625E-2</v>
      </c>
      <c r="C16" s="30">
        <v>-5.7128095999999999</v>
      </c>
      <c r="D16" s="30">
        <f t="shared" si="1"/>
        <v>4.0444862155411903</v>
      </c>
      <c r="E16" s="30">
        <f t="shared" si="2"/>
        <v>5.2252173913024471</v>
      </c>
      <c r="F16" s="30">
        <f t="shared" si="3"/>
        <v>1.5959999999992647E-4</v>
      </c>
      <c r="G16" s="30">
        <f t="shared" si="4"/>
        <v>1.6196666666671669E-4</v>
      </c>
      <c r="H16" s="30">
        <f t="shared" si="5"/>
        <v>-5.7126476333333329</v>
      </c>
      <c r="I16" s="31">
        <f t="shared" si="6"/>
        <v>-2.3666666670862924E-6</v>
      </c>
    </row>
    <row r="17" spans="1:9" x14ac:dyDescent="0.25">
      <c r="A17" s="29">
        <f t="shared" si="0"/>
        <v>1024</v>
      </c>
      <c r="B17" s="30">
        <v>1.2695313E-2</v>
      </c>
      <c r="C17" s="30">
        <v>-5.7126945999999998</v>
      </c>
      <c r="D17" s="30">
        <f t="shared" si="1"/>
        <v>3.578475336334122</v>
      </c>
      <c r="E17" s="30">
        <f t="shared" si="2"/>
        <v>4.8983050847319847</v>
      </c>
      <c r="F17" s="30">
        <f t="shared" si="3"/>
        <v>4.4599999999839213E-5</v>
      </c>
      <c r="G17" s="30">
        <f t="shared" si="4"/>
        <v>3.8333333333362418E-5</v>
      </c>
      <c r="H17" s="30">
        <f t="shared" si="5"/>
        <v>-5.7126562666666665</v>
      </c>
      <c r="I17" s="31">
        <f t="shared" si="6"/>
        <v>6.2666666664767945E-6</v>
      </c>
    </row>
    <row r="18" spans="1:9" x14ac:dyDescent="0.25">
      <c r="A18" s="29">
        <f t="shared" si="0"/>
        <v>2048</v>
      </c>
      <c r="B18" s="30">
        <v>6.3476562999999998E-3</v>
      </c>
      <c r="C18" s="30">
        <v>-5.7126650999999997</v>
      </c>
      <c r="D18" s="30">
        <f t="shared" si="1"/>
        <v>2.9536423841515358</v>
      </c>
      <c r="E18" s="30">
        <f t="shared" si="2"/>
        <v>2.7664670659013844</v>
      </c>
      <c r="F18" s="30">
        <f t="shared" si="3"/>
        <v>1.5099999999712566E-5</v>
      </c>
      <c r="G18" s="30">
        <f t="shared" si="4"/>
        <v>9.833333333375549E-6</v>
      </c>
      <c r="H18" s="30">
        <f t="shared" si="5"/>
        <v>-5.7126552666666663</v>
      </c>
      <c r="I18" s="31">
        <f t="shared" si="6"/>
        <v>5.2666666663370165E-6</v>
      </c>
    </row>
    <row r="19" spans="1:9" x14ac:dyDescent="0.25">
      <c r="A19" s="29">
        <f t="shared" si="0"/>
        <v>4096</v>
      </c>
      <c r="B19" s="30">
        <v>3.1738281000000001E-3</v>
      </c>
      <c r="C19" s="30">
        <v>-5.7126484</v>
      </c>
      <c r="D19" s="30">
        <f t="shared" si="1"/>
        <v>-9.4374999995489723</v>
      </c>
      <c r="E19" s="30">
        <f t="shared" si="2"/>
        <v>4.1509433963212725</v>
      </c>
      <c r="F19" s="30">
        <f t="shared" si="3"/>
        <v>-1.6000000000460091E-6</v>
      </c>
      <c r="G19" s="30">
        <f t="shared" si="4"/>
        <v>5.5666666665861913E-6</v>
      </c>
      <c r="H19" s="30">
        <f t="shared" si="5"/>
        <v>-5.7126428333333337</v>
      </c>
      <c r="I19" s="31">
        <f t="shared" si="6"/>
        <v>-7.1666666663361411E-6</v>
      </c>
    </row>
    <row r="20" spans="1:9" x14ac:dyDescent="0.25">
      <c r="A20" s="29">
        <f t="shared" si="0"/>
        <v>8192</v>
      </c>
      <c r="B20" s="30">
        <v>1.5869141000000001E-3</v>
      </c>
      <c r="C20" s="30">
        <v>-5.7126431000000002</v>
      </c>
      <c r="D20" s="30">
        <f t="shared" ref="D20:D21" si="7">F19/F20</f>
        <v>0.23188405798407319</v>
      </c>
      <c r="E20" s="30">
        <f t="shared" ref="E20:E21" si="8">(C21-C19)/(C21-C20)</f>
        <v>0.77350427351335704</v>
      </c>
      <c r="F20" s="30">
        <f t="shared" ref="F20:F21" si="9">$M$3-C20</f>
        <v>-6.899999999809836E-6</v>
      </c>
      <c r="G20" s="30">
        <f t="shared" si="4"/>
        <v>1.7666666665879423E-6</v>
      </c>
      <c r="H20" s="30">
        <f t="shared" ref="H20:H21" si="10">C20+G20</f>
        <v>-5.7126413333333339</v>
      </c>
      <c r="I20" s="31">
        <f t="shared" si="6"/>
        <v>-8.6666666661017189E-6</v>
      </c>
    </row>
    <row r="21" spans="1:9" x14ac:dyDescent="0.25">
      <c r="A21" s="29">
        <f t="shared" si="0"/>
        <v>16384</v>
      </c>
      <c r="B21" s="30">
        <v>7.9345703E-4</v>
      </c>
      <c r="C21" s="30">
        <v>-5.7126665000000001</v>
      </c>
      <c r="D21" s="30">
        <f t="shared" si="7"/>
        <v>-0.41818181816811628</v>
      </c>
      <c r="E21" s="30">
        <f t="shared" si="8"/>
        <v>0.34636871508726391</v>
      </c>
      <c r="F21" s="30">
        <f t="shared" si="9"/>
        <v>1.650000000008589E-5</v>
      </c>
      <c r="G21" s="30">
        <f t="shared" si="4"/>
        <v>-7.7999999999652427E-6</v>
      </c>
      <c r="H21" s="30">
        <f t="shared" si="10"/>
        <v>-5.7126742999999998</v>
      </c>
      <c r="I21" s="31">
        <f t="shared" si="6"/>
        <v>2.4299999999755073E-5</v>
      </c>
    </row>
    <row r="22" spans="1:9" x14ac:dyDescent="0.25">
      <c r="A22" s="29">
        <f t="shared" si="0"/>
        <v>32768</v>
      </c>
      <c r="B22" s="30">
        <v>3.9672851999999998E-4</v>
      </c>
      <c r="C22" s="30">
        <v>-5.7126307000000001</v>
      </c>
      <c r="D22" s="30">
        <f t="shared" ref="D22:D23" si="11">F21/F22</f>
        <v>-0.85492227979966096</v>
      </c>
      <c r="E22" s="30">
        <f t="shared" ref="E22:E23" si="12">(C23-C21)/(C23-C22)</f>
        <v>6.7741935487429226</v>
      </c>
      <c r="F22" s="30">
        <f t="shared" ref="F22:F23" si="13">$M$3-C22</f>
        <v>-1.9299999999944362E-5</v>
      </c>
      <c r="G22" s="30">
        <f t="shared" si="4"/>
        <v>1.1933333333343418E-5</v>
      </c>
      <c r="H22" s="30">
        <f t="shared" ref="H22:H23" si="14">C22+G22</f>
        <v>-5.712618766666667</v>
      </c>
      <c r="I22" s="31">
        <f t="shared" si="6"/>
        <v>-3.123333333299172E-5</v>
      </c>
    </row>
    <row r="23" spans="1:9" ht="15.75" thickBot="1" x14ac:dyDescent="0.3">
      <c r="A23" s="32">
        <f t="shared" si="0"/>
        <v>65536</v>
      </c>
      <c r="B23" s="33">
        <v>1.9836425999999999E-4</v>
      </c>
      <c r="C23" s="33">
        <v>-5.7126245000000004</v>
      </c>
      <c r="D23" s="33">
        <f t="shared" si="11"/>
        <v>0.75686274510869322</v>
      </c>
      <c r="E23" s="33">
        <f t="shared" si="12"/>
        <v>1.0000010853155148</v>
      </c>
      <c r="F23" s="33">
        <f t="shared" si="13"/>
        <v>-2.5499999999567535E-5</v>
      </c>
      <c r="G23" s="33">
        <f t="shared" si="4"/>
        <v>2.066666666541058E-6</v>
      </c>
      <c r="H23" s="33">
        <f t="shared" si="14"/>
        <v>-5.7126224333333342</v>
      </c>
      <c r="I23" s="34">
        <f t="shared" si="6"/>
        <v>-2.7566666665812534E-5</v>
      </c>
    </row>
    <row r="24" spans="1:9" x14ac:dyDescent="0.25">
      <c r="A24" s="35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5"/>
      <c r="B25" s="36"/>
      <c r="C25" s="36"/>
      <c r="D25" s="36"/>
      <c r="E25" s="36"/>
      <c r="F25" s="36"/>
      <c r="G25" s="36"/>
      <c r="H25" s="36"/>
      <c r="I25" s="36"/>
    </row>
    <row r="26" spans="1:9" ht="15.75" thickBot="1" x14ac:dyDescent="0.3">
      <c r="A26" s="35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68" t="s">
        <v>35</v>
      </c>
      <c r="B27" s="69"/>
      <c r="C27" s="69"/>
      <c r="D27" s="69"/>
      <c r="E27" s="69"/>
      <c r="F27" s="69"/>
      <c r="G27" s="69"/>
      <c r="H27" s="69"/>
      <c r="I27" s="70"/>
    </row>
    <row r="28" spans="1:9" x14ac:dyDescent="0.25">
      <c r="A28" s="71" t="s">
        <v>36</v>
      </c>
      <c r="B28" s="72"/>
      <c r="C28" s="72"/>
      <c r="D28" s="72"/>
      <c r="E28" s="72"/>
      <c r="F28" s="72"/>
      <c r="G28" s="72"/>
      <c r="H28" s="72"/>
      <c r="I28" s="73"/>
    </row>
    <row r="29" spans="1:9" x14ac:dyDescent="0.25">
      <c r="A29" s="71" t="s">
        <v>43</v>
      </c>
      <c r="B29" s="72"/>
      <c r="C29" s="72"/>
      <c r="D29" s="72"/>
      <c r="E29" s="72"/>
      <c r="F29" s="72"/>
      <c r="G29" s="72"/>
      <c r="H29" s="72"/>
      <c r="I29" s="73"/>
    </row>
    <row r="30" spans="1:9" x14ac:dyDescent="0.25">
      <c r="A30" s="71" t="s">
        <v>39</v>
      </c>
      <c r="B30" s="72"/>
      <c r="C30" s="72"/>
      <c r="D30" s="72"/>
      <c r="E30" s="72"/>
      <c r="F30" s="72"/>
      <c r="G30" s="72"/>
      <c r="H30" s="72"/>
      <c r="I30" s="73"/>
    </row>
    <row r="31" spans="1:9" ht="124.5" customHeight="1" x14ac:dyDescent="0.25">
      <c r="A31" s="14" t="s">
        <v>3</v>
      </c>
      <c r="B31" s="13" t="s">
        <v>31</v>
      </c>
      <c r="C31" s="13" t="s">
        <v>4</v>
      </c>
      <c r="D31" s="13" t="s">
        <v>11</v>
      </c>
      <c r="E31" s="13" t="s">
        <v>32</v>
      </c>
      <c r="F31" s="13" t="s">
        <v>5</v>
      </c>
      <c r="G31" s="13" t="s">
        <v>6</v>
      </c>
      <c r="H31" s="13" t="s">
        <v>7</v>
      </c>
      <c r="I31" s="15" t="s">
        <v>8</v>
      </c>
    </row>
    <row r="32" spans="1:9" x14ac:dyDescent="0.25">
      <c r="A32" s="16" t="s">
        <v>9</v>
      </c>
      <c r="B32" s="5" t="s">
        <v>33</v>
      </c>
      <c r="C32" s="5" t="s">
        <v>20</v>
      </c>
      <c r="D32" s="5" t="s">
        <v>21</v>
      </c>
      <c r="E32" s="5" t="s">
        <v>34</v>
      </c>
      <c r="F32" s="12" t="s">
        <v>22</v>
      </c>
      <c r="G32" s="23" t="s">
        <v>52</v>
      </c>
      <c r="H32" s="12" t="s">
        <v>23</v>
      </c>
      <c r="I32" s="6" t="s">
        <v>24</v>
      </c>
    </row>
    <row r="33" spans="1:9" x14ac:dyDescent="0.25">
      <c r="A33" s="29">
        <v>1</v>
      </c>
      <c r="B33" s="30">
        <v>13</v>
      </c>
      <c r="C33" s="30">
        <v>8092.9062999999996</v>
      </c>
      <c r="D33" s="19" t="s">
        <v>30</v>
      </c>
      <c r="E33" s="19" t="s">
        <v>30</v>
      </c>
      <c r="F33" s="30">
        <f t="shared" ref="F33:F50" si="15">$M$2-C33</f>
        <v>149400.57703330001</v>
      </c>
      <c r="G33" s="19" t="s">
        <v>30</v>
      </c>
      <c r="H33" s="19" t="s">
        <v>30</v>
      </c>
      <c r="I33" s="20" t="s">
        <v>30</v>
      </c>
    </row>
    <row r="34" spans="1:9" x14ac:dyDescent="0.25">
      <c r="A34" s="29">
        <f t="shared" ref="A34:A50" si="16">A33*2</f>
        <v>2</v>
      </c>
      <c r="B34" s="30">
        <v>6.5</v>
      </c>
      <c r="C34" s="30">
        <v>86639.945000000007</v>
      </c>
      <c r="D34" s="30">
        <f t="shared" ref="D34:D50" si="17">F33/F34</f>
        <v>2.1085831497999328</v>
      </c>
      <c r="E34" s="30">
        <f t="shared" ref="E34:E49" si="18">(C35-C33)/(C35-C34)</f>
        <v>2.5387445447686248</v>
      </c>
      <c r="F34" s="30">
        <f t="shared" si="15"/>
        <v>70853.538333300006</v>
      </c>
      <c r="G34" s="30">
        <f>(C34-C33)/3</f>
        <v>26182.346233333334</v>
      </c>
      <c r="H34" s="30">
        <f t="shared" ref="H34:H50" si="19">C34+G34</f>
        <v>112822.29123333334</v>
      </c>
      <c r="I34" s="31">
        <f t="shared" ref="I34:I50" si="20">$M$2-H34</f>
        <v>44671.192099966676</v>
      </c>
    </row>
    <row r="35" spans="1:9" x14ac:dyDescent="0.25">
      <c r="A35" s="29">
        <f t="shared" si="16"/>
        <v>4</v>
      </c>
      <c r="B35" s="30">
        <v>3.25</v>
      </c>
      <c r="C35" s="30">
        <v>137686.13</v>
      </c>
      <c r="D35" s="30">
        <f t="shared" si="17"/>
        <v>3.57713305463085</v>
      </c>
      <c r="E35" s="30">
        <f t="shared" si="18"/>
        <v>4.4667163565857262</v>
      </c>
      <c r="F35" s="30">
        <f t="shared" si="15"/>
        <v>19807.353333300009</v>
      </c>
      <c r="G35" s="30">
        <f t="shared" ref="G35:G50" si="21">(C35-C34)/3</f>
        <v>17015.395</v>
      </c>
      <c r="H35" s="30">
        <f t="shared" si="19"/>
        <v>154701.52499999999</v>
      </c>
      <c r="I35" s="31">
        <f t="shared" si="20"/>
        <v>2791.9583333000191</v>
      </c>
    </row>
    <row r="36" spans="1:9" x14ac:dyDescent="0.25">
      <c r="A36" s="29">
        <f t="shared" si="16"/>
        <v>8</v>
      </c>
      <c r="B36" s="30">
        <v>1.625</v>
      </c>
      <c r="C36" s="30">
        <v>152410.78</v>
      </c>
      <c r="D36" s="30">
        <f t="shared" si="17"/>
        <v>3.8970114984932267</v>
      </c>
      <c r="E36" s="30">
        <f t="shared" si="18"/>
        <v>4.8709757982680584</v>
      </c>
      <c r="F36" s="30">
        <f t="shared" si="15"/>
        <v>5082.7033333000145</v>
      </c>
      <c r="G36" s="30">
        <f t="shared" si="21"/>
        <v>4908.2166666666644</v>
      </c>
      <c r="H36" s="30">
        <f t="shared" si="19"/>
        <v>157318.99666666667</v>
      </c>
      <c r="I36" s="31">
        <f t="shared" si="20"/>
        <v>174.48666663334006</v>
      </c>
    </row>
    <row r="37" spans="1:9" x14ac:dyDescent="0.25">
      <c r="A37" s="29">
        <f t="shared" si="16"/>
        <v>16</v>
      </c>
      <c r="B37" s="30">
        <v>0.8125</v>
      </c>
      <c r="C37" s="30">
        <v>156214.64000000001</v>
      </c>
      <c r="D37" s="30">
        <f t="shared" si="17"/>
        <v>3.9744534775689222</v>
      </c>
      <c r="E37" s="30">
        <f t="shared" si="18"/>
        <v>4.9680996442766823</v>
      </c>
      <c r="F37" s="30">
        <f t="shared" si="15"/>
        <v>1278.8433332999994</v>
      </c>
      <c r="G37" s="30">
        <f t="shared" si="21"/>
        <v>1267.9533333333384</v>
      </c>
      <c r="H37" s="30">
        <f t="shared" si="19"/>
        <v>157482.59333333335</v>
      </c>
      <c r="I37" s="31">
        <f t="shared" si="20"/>
        <v>10.88999996666098</v>
      </c>
    </row>
    <row r="38" spans="1:9" x14ac:dyDescent="0.25">
      <c r="A38" s="29">
        <f t="shared" si="16"/>
        <v>32</v>
      </c>
      <c r="B38" s="30">
        <v>0.40625</v>
      </c>
      <c r="C38" s="30">
        <v>157173.25</v>
      </c>
      <c r="D38" s="30">
        <f t="shared" si="17"/>
        <v>3.9934735092111855</v>
      </c>
      <c r="E38" s="30">
        <f t="shared" si="18"/>
        <v>4.9915473017986844</v>
      </c>
      <c r="F38" s="30">
        <f t="shared" si="15"/>
        <v>320.23333330001333</v>
      </c>
      <c r="G38" s="30">
        <f t="shared" si="21"/>
        <v>319.53666666666203</v>
      </c>
      <c r="H38" s="30">
        <f t="shared" si="19"/>
        <v>157492.78666666665</v>
      </c>
      <c r="I38" s="31">
        <f t="shared" si="20"/>
        <v>0.69666663336101919</v>
      </c>
    </row>
    <row r="39" spans="1:9" x14ac:dyDescent="0.25">
      <c r="A39" s="29">
        <f t="shared" si="16"/>
        <v>64</v>
      </c>
      <c r="B39" s="30">
        <v>0.203125</v>
      </c>
      <c r="C39" s="30">
        <v>157413.41</v>
      </c>
      <c r="D39" s="30">
        <f t="shared" si="17"/>
        <v>3.9992506881185874</v>
      </c>
      <c r="E39" s="30">
        <f t="shared" si="18"/>
        <v>4.9986679986682114</v>
      </c>
      <c r="F39" s="30">
        <f t="shared" si="15"/>
        <v>80.073333300009836</v>
      </c>
      <c r="G39" s="30">
        <f t="shared" si="21"/>
        <v>80.053333333334493</v>
      </c>
      <c r="H39" s="30">
        <f t="shared" si="19"/>
        <v>157493.46333333335</v>
      </c>
      <c r="I39" s="31">
        <f t="shared" si="20"/>
        <v>1.9999966665636748E-2</v>
      </c>
    </row>
    <row r="40" spans="1:9" x14ac:dyDescent="0.25">
      <c r="A40" s="29">
        <f t="shared" si="16"/>
        <v>128</v>
      </c>
      <c r="B40" s="30">
        <v>0.1015625</v>
      </c>
      <c r="C40" s="30">
        <v>157473.47</v>
      </c>
      <c r="D40" s="30">
        <f t="shared" si="17"/>
        <v>4.0009993387738749</v>
      </c>
      <c r="E40" s="30">
        <f t="shared" si="18"/>
        <v>5.001332445034004</v>
      </c>
      <c r="F40" s="30">
        <f t="shared" si="15"/>
        <v>20.013333300012164</v>
      </c>
      <c r="G40" s="30">
        <f t="shared" si="21"/>
        <v>20.019999999999225</v>
      </c>
      <c r="H40" s="30">
        <f t="shared" si="19"/>
        <v>157493.49</v>
      </c>
      <c r="I40" s="31">
        <f t="shared" si="20"/>
        <v>-6.6666999773588032E-3</v>
      </c>
    </row>
    <row r="41" spans="1:9" x14ac:dyDescent="0.25">
      <c r="A41" s="29">
        <f t="shared" si="16"/>
        <v>256</v>
      </c>
      <c r="B41" s="30">
        <v>5.078125E-2</v>
      </c>
      <c r="C41" s="30">
        <v>157488.48000000001</v>
      </c>
      <c r="D41" s="30">
        <f t="shared" si="17"/>
        <v>4.0000000199868282</v>
      </c>
      <c r="E41" s="30">
        <f t="shared" si="18"/>
        <v>5.0026666666691506</v>
      </c>
      <c r="F41" s="30">
        <f t="shared" si="15"/>
        <v>5.0033333000028506</v>
      </c>
      <c r="G41" s="30">
        <f t="shared" si="21"/>
        <v>5.003333333336438</v>
      </c>
      <c r="H41" s="30">
        <f t="shared" si="19"/>
        <v>157493.48333333334</v>
      </c>
      <c r="I41" s="31">
        <f t="shared" si="20"/>
        <v>-3.3323885872960091E-8</v>
      </c>
    </row>
    <row r="42" spans="1:9" x14ac:dyDescent="0.25">
      <c r="A42" s="29">
        <f t="shared" si="16"/>
        <v>512</v>
      </c>
      <c r="B42" s="30">
        <v>2.5390625E-2</v>
      </c>
      <c r="C42" s="30">
        <v>157492.23000000001</v>
      </c>
      <c r="D42" s="30">
        <f t="shared" si="17"/>
        <v>3.9920213561639755</v>
      </c>
      <c r="E42" s="30">
        <f t="shared" si="18"/>
        <v>4.9062500000331584</v>
      </c>
      <c r="F42" s="30">
        <f t="shared" si="15"/>
        <v>1.2533333000028506</v>
      </c>
      <c r="G42" s="30">
        <f t="shared" si="21"/>
        <v>1.25</v>
      </c>
      <c r="H42" s="30">
        <f t="shared" si="19"/>
        <v>157493.48000000001</v>
      </c>
      <c r="I42" s="31">
        <f t="shared" si="20"/>
        <v>3.3333000028505921E-3</v>
      </c>
    </row>
    <row r="43" spans="1:9" x14ac:dyDescent="0.25">
      <c r="A43" s="29">
        <f t="shared" si="16"/>
        <v>1024</v>
      </c>
      <c r="B43" s="30">
        <v>1.2695313E-2</v>
      </c>
      <c r="C43" s="30">
        <v>157493.19</v>
      </c>
      <c r="D43" s="30">
        <f t="shared" si="17"/>
        <v>4.2727276444776372</v>
      </c>
      <c r="E43" s="30">
        <f t="shared" si="18"/>
        <v>5.1739130432526927</v>
      </c>
      <c r="F43" s="30">
        <f t="shared" si="15"/>
        <v>0.29333330001099966</v>
      </c>
      <c r="G43" s="30">
        <f t="shared" si="21"/>
        <v>0.31999999999728362</v>
      </c>
      <c r="H43" s="30">
        <f t="shared" si="19"/>
        <v>157493.51</v>
      </c>
      <c r="I43" s="31">
        <f t="shared" si="20"/>
        <v>-2.6666699995985255E-2</v>
      </c>
    </row>
    <row r="44" spans="1:9" x14ac:dyDescent="0.25">
      <c r="A44" s="29">
        <f t="shared" si="16"/>
        <v>2048</v>
      </c>
      <c r="B44" s="30">
        <v>6.3476562999999998E-3</v>
      </c>
      <c r="C44" s="30">
        <v>157493.42000000001</v>
      </c>
      <c r="D44" s="30">
        <f t="shared" si="17"/>
        <v>4.631580858862252</v>
      </c>
      <c r="E44" s="30">
        <f t="shared" si="18"/>
        <v>-6.6666666673134181</v>
      </c>
      <c r="F44" s="30">
        <f t="shared" si="15"/>
        <v>6.3333300000522286E-2</v>
      </c>
      <c r="G44" s="30">
        <f t="shared" si="21"/>
        <v>7.6666666670159131E-2</v>
      </c>
      <c r="H44" s="30">
        <f t="shared" si="19"/>
        <v>157493.49666666667</v>
      </c>
      <c r="I44" s="31">
        <f t="shared" si="20"/>
        <v>-1.3333366659935564E-2</v>
      </c>
    </row>
    <row r="45" spans="1:9" x14ac:dyDescent="0.25">
      <c r="A45" s="29">
        <f t="shared" si="16"/>
        <v>4096</v>
      </c>
      <c r="B45" s="30">
        <v>3.1738281000000001E-3</v>
      </c>
      <c r="C45" s="30">
        <v>157493.39000000001</v>
      </c>
      <c r="D45" s="30">
        <f t="shared" si="17"/>
        <v>0.67857131378573177</v>
      </c>
      <c r="E45" s="30">
        <f t="shared" si="18"/>
        <v>0.8421052631417707</v>
      </c>
      <c r="F45" s="30">
        <f t="shared" si="15"/>
        <v>9.3333299999358132E-2</v>
      </c>
      <c r="G45" s="30">
        <f t="shared" si="21"/>
        <v>-9.9999999996119495E-3</v>
      </c>
      <c r="H45" s="30">
        <f t="shared" si="19"/>
        <v>157493.38</v>
      </c>
      <c r="I45" s="31">
        <f t="shared" si="20"/>
        <v>0.10333330000867136</v>
      </c>
    </row>
    <row r="46" spans="1:9" x14ac:dyDescent="0.25">
      <c r="A46" s="29">
        <f t="shared" si="16"/>
        <v>8192</v>
      </c>
      <c r="B46" s="30">
        <v>1.5869141000000001E-3</v>
      </c>
      <c r="C46" s="30">
        <v>157493.57999999999</v>
      </c>
      <c r="D46" s="30">
        <f t="shared" si="17"/>
        <v>-0.96551656386936358</v>
      </c>
      <c r="E46" s="30">
        <f t="shared" si="18"/>
        <v>-0.72727272724867453</v>
      </c>
      <c r="F46" s="30">
        <f t="shared" si="15"/>
        <v>-9.6666699973866343E-2</v>
      </c>
      <c r="G46" s="30">
        <f t="shared" si="21"/>
        <v>6.3333333324408159E-2</v>
      </c>
      <c r="H46" s="30">
        <f t="shared" si="19"/>
        <v>157493.64333333331</v>
      </c>
      <c r="I46" s="31">
        <f t="shared" si="20"/>
        <v>-0.1600000332982745</v>
      </c>
    </row>
    <row r="47" spans="1:9" x14ac:dyDescent="0.25">
      <c r="A47" s="29">
        <f t="shared" si="16"/>
        <v>16384</v>
      </c>
      <c r="B47" s="30">
        <v>7.9345703E-4</v>
      </c>
      <c r="C47" s="30">
        <v>157493.47</v>
      </c>
      <c r="D47" s="30">
        <f t="shared" si="17"/>
        <v>-7.2500206164774221</v>
      </c>
      <c r="E47" s="30">
        <f t="shared" si="18"/>
        <v>1.5499999998981366</v>
      </c>
      <c r="F47" s="30">
        <f t="shared" si="15"/>
        <v>1.3333300012163818E-2</v>
      </c>
      <c r="G47" s="30">
        <f t="shared" si="21"/>
        <v>-3.6666666662010051E-2</v>
      </c>
      <c r="H47" s="30">
        <f t="shared" si="19"/>
        <v>157493.43333333335</v>
      </c>
      <c r="I47" s="31">
        <f t="shared" si="20"/>
        <v>4.9999966664472595E-2</v>
      </c>
    </row>
    <row r="48" spans="1:9" x14ac:dyDescent="0.25">
      <c r="A48" s="29">
        <f t="shared" si="16"/>
        <v>32768</v>
      </c>
      <c r="B48" s="30">
        <v>3.9672851999999998E-4</v>
      </c>
      <c r="C48" s="30">
        <v>157493.26999999999</v>
      </c>
      <c r="D48" s="30">
        <f t="shared" si="17"/>
        <v>6.2499853565645809E-2</v>
      </c>
      <c r="E48" s="30">
        <f t="shared" si="18"/>
        <v>0.13043478259769231</v>
      </c>
      <c r="F48" s="30">
        <f t="shared" si="15"/>
        <v>0.21333330002380535</v>
      </c>
      <c r="G48" s="30">
        <f t="shared" si="21"/>
        <v>-6.6666666670547173E-2</v>
      </c>
      <c r="H48" s="30">
        <f t="shared" si="19"/>
        <v>157493.20333333331</v>
      </c>
      <c r="I48" s="31">
        <f t="shared" si="20"/>
        <v>0.2799999667040538</v>
      </c>
    </row>
    <row r="49" spans="1:9" x14ac:dyDescent="0.25">
      <c r="A49" s="29">
        <f t="shared" si="16"/>
        <v>65536</v>
      </c>
      <c r="B49" s="30">
        <v>1.9836425999999999E-4</v>
      </c>
      <c r="C49" s="30">
        <v>157493.5</v>
      </c>
      <c r="D49" s="30">
        <f t="shared" si="17"/>
        <v>-12.799972411719358</v>
      </c>
      <c r="E49" s="30">
        <f t="shared" si="18"/>
        <v>-3.6000000012805686</v>
      </c>
      <c r="F49" s="30">
        <f t="shared" si="15"/>
        <v>-1.6666699986672029E-2</v>
      </c>
      <c r="G49" s="30">
        <f t="shared" si="21"/>
        <v>7.6666666670159131E-2</v>
      </c>
      <c r="H49" s="30">
        <f t="shared" si="19"/>
        <v>157493.57666666666</v>
      </c>
      <c r="I49" s="31">
        <f t="shared" si="20"/>
        <v>-9.3333366647129878E-2</v>
      </c>
    </row>
    <row r="50" spans="1:9" ht="15.75" thickBot="1" x14ac:dyDescent="0.3">
      <c r="A50" s="32">
        <f t="shared" si="16"/>
        <v>131072</v>
      </c>
      <c r="B50" s="33">
        <v>9.9182129E-5</v>
      </c>
      <c r="C50" s="33">
        <v>157493.45000000001</v>
      </c>
      <c r="D50" s="33">
        <f t="shared" si="17"/>
        <v>-0.50000149957636375</v>
      </c>
      <c r="E50" s="33">
        <f>(C58-C49)/(C58-C50)</f>
        <v>1.0000003174735204</v>
      </c>
      <c r="F50" s="33">
        <f t="shared" si="15"/>
        <v>3.3333300001686439E-2</v>
      </c>
      <c r="G50" s="33">
        <f t="shared" si="21"/>
        <v>-1.6666666662786156E-2</v>
      </c>
      <c r="H50" s="33">
        <f t="shared" si="19"/>
        <v>157493.43333333335</v>
      </c>
      <c r="I50" s="34">
        <f t="shared" si="20"/>
        <v>4.9999966664472595E-2</v>
      </c>
    </row>
    <row r="58" spans="1:9" x14ac:dyDescent="0.25">
      <c r="A58" s="8"/>
      <c r="B58" s="27"/>
      <c r="C58" s="27"/>
      <c r="D58" s="27"/>
      <c r="E58" s="27"/>
      <c r="F58" s="27"/>
      <c r="G58" s="27"/>
      <c r="H58" s="27"/>
      <c r="I58" s="27"/>
    </row>
    <row r="59" spans="1:9" x14ac:dyDescent="0.25">
      <c r="A59" s="8"/>
      <c r="B59" s="27"/>
      <c r="C59" s="27"/>
      <c r="D59" s="27"/>
      <c r="E59" s="27"/>
      <c r="F59" s="27"/>
      <c r="G59" s="27"/>
      <c r="H59" s="27"/>
      <c r="I59" s="27"/>
    </row>
    <row r="60" spans="1:9" x14ac:dyDescent="0.25">
      <c r="A60" s="8"/>
      <c r="B60" s="27"/>
      <c r="C60" s="27"/>
      <c r="D60" s="27"/>
      <c r="E60" s="27"/>
      <c r="F60" s="27"/>
      <c r="G60" s="27"/>
      <c r="H60" s="27"/>
      <c r="I60" s="27"/>
    </row>
    <row r="61" spans="1:9" x14ac:dyDescent="0.25">
      <c r="A61" s="8"/>
      <c r="B61" s="27"/>
      <c r="C61" s="27"/>
      <c r="D61" s="27"/>
      <c r="E61" s="27"/>
      <c r="F61" s="27"/>
      <c r="G61" s="27"/>
      <c r="H61" s="27"/>
      <c r="I61" s="27"/>
    </row>
    <row r="62" spans="1:9" x14ac:dyDescent="0.25">
      <c r="A62" s="8"/>
      <c r="B62" s="27"/>
      <c r="C62" s="27"/>
      <c r="D62" s="27"/>
      <c r="E62" s="27"/>
      <c r="F62" s="27"/>
      <c r="G62" s="27"/>
      <c r="H62" s="27"/>
      <c r="I62" s="27"/>
    </row>
    <row r="63" spans="1:9" x14ac:dyDescent="0.25">
      <c r="A63" s="8"/>
      <c r="B63" s="27"/>
      <c r="C63" s="27"/>
      <c r="D63" s="27"/>
      <c r="E63" s="27"/>
      <c r="F63" s="27"/>
      <c r="G63" s="27"/>
      <c r="H63" s="27"/>
      <c r="I63" s="27"/>
    </row>
    <row r="64" spans="1:9" x14ac:dyDescent="0.25">
      <c r="A64" s="8"/>
      <c r="B64" s="11"/>
      <c r="C64" s="11"/>
      <c r="D64" s="10"/>
      <c r="E64" s="10"/>
      <c r="F64" s="10"/>
      <c r="G64" s="10"/>
      <c r="H64" s="10"/>
      <c r="I64" s="10"/>
    </row>
  </sheetData>
  <mergeCells count="8">
    <mergeCell ref="A28:I28"/>
    <mergeCell ref="A29:I29"/>
    <mergeCell ref="A30:I30"/>
    <mergeCell ref="A1:I1"/>
    <mergeCell ref="A2:I2"/>
    <mergeCell ref="A3:I3"/>
    <mergeCell ref="A4:I4"/>
    <mergeCell ref="A27:I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42A4-42F9-4E20-99B0-1F27C3A2FAFF}">
  <dimension ref="A1:M63"/>
  <sheetViews>
    <sheetView topLeftCell="A15" zoomScaleNormal="100" workbookViewId="0">
      <selection activeCell="G36" sqref="G36"/>
    </sheetView>
  </sheetViews>
  <sheetFormatPr defaultRowHeight="15" x14ac:dyDescent="0.25"/>
  <cols>
    <col min="1" max="1" width="13.7109375" customWidth="1"/>
    <col min="2" max="9" width="15.7109375" customWidth="1"/>
    <col min="13" max="13" width="10.5703125" bestFit="1" customWidth="1"/>
  </cols>
  <sheetData>
    <row r="1" spans="1:13" x14ac:dyDescent="0.25">
      <c r="A1" s="62" t="s">
        <v>40</v>
      </c>
      <c r="B1" s="63"/>
      <c r="C1" s="63"/>
      <c r="D1" s="63"/>
      <c r="E1" s="63"/>
      <c r="F1" s="63"/>
      <c r="G1" s="63"/>
      <c r="H1" s="63"/>
      <c r="I1" s="64"/>
      <c r="J1" s="37"/>
      <c r="K1" s="37"/>
      <c r="L1" s="37"/>
    </row>
    <row r="2" spans="1:13" x14ac:dyDescent="0.25">
      <c r="A2" s="65" t="s">
        <v>41</v>
      </c>
      <c r="B2" s="66"/>
      <c r="C2" s="66"/>
      <c r="D2" s="66"/>
      <c r="E2" s="66"/>
      <c r="F2" s="66"/>
      <c r="G2" s="66"/>
      <c r="H2" s="66"/>
      <c r="I2" s="67"/>
      <c r="J2" s="37"/>
      <c r="K2" s="38" t="s">
        <v>45</v>
      </c>
      <c r="L2" s="38"/>
      <c r="M2" s="18">
        <v>43666.666666666701</v>
      </c>
    </row>
    <row r="3" spans="1:13" x14ac:dyDescent="0.25">
      <c r="A3" s="65" t="s">
        <v>42</v>
      </c>
      <c r="B3" s="66"/>
      <c r="C3" s="66"/>
      <c r="D3" s="66"/>
      <c r="E3" s="66"/>
      <c r="F3" s="66"/>
      <c r="G3" s="66"/>
      <c r="H3" s="66"/>
      <c r="I3" s="67"/>
      <c r="J3" s="37"/>
      <c r="K3" s="38" t="s">
        <v>37</v>
      </c>
      <c r="L3" s="38"/>
      <c r="M3" s="17">
        <v>-5.71265</v>
      </c>
    </row>
    <row r="4" spans="1:13" x14ac:dyDescent="0.25">
      <c r="A4" s="65" t="s">
        <v>38</v>
      </c>
      <c r="B4" s="66"/>
      <c r="C4" s="66"/>
      <c r="D4" s="66"/>
      <c r="E4" s="66"/>
      <c r="F4" s="66"/>
      <c r="G4" s="66"/>
      <c r="H4" s="66"/>
      <c r="I4" s="67"/>
      <c r="J4" s="37"/>
      <c r="K4" s="37"/>
      <c r="L4" s="37"/>
    </row>
    <row r="5" spans="1:13" ht="120" x14ac:dyDescent="0.25">
      <c r="A5" s="14" t="s">
        <v>3</v>
      </c>
      <c r="B5" s="13" t="s">
        <v>31</v>
      </c>
      <c r="C5" s="13" t="s">
        <v>4</v>
      </c>
      <c r="D5" s="13" t="s">
        <v>11</v>
      </c>
      <c r="E5" s="13" t="s">
        <v>32</v>
      </c>
      <c r="F5" s="13" t="s">
        <v>5</v>
      </c>
      <c r="G5" s="13" t="s">
        <v>6</v>
      </c>
      <c r="H5" s="13" t="s">
        <v>7</v>
      </c>
      <c r="I5" s="15" t="s">
        <v>8</v>
      </c>
      <c r="J5" s="37"/>
      <c r="K5" s="37"/>
      <c r="L5" s="37"/>
    </row>
    <row r="6" spans="1:13" x14ac:dyDescent="0.25">
      <c r="A6" s="16" t="s">
        <v>9</v>
      </c>
      <c r="B6" s="5" t="s">
        <v>33</v>
      </c>
      <c r="C6" s="5" t="s">
        <v>20</v>
      </c>
      <c r="D6" s="5" t="s">
        <v>21</v>
      </c>
      <c r="E6" s="5" t="s">
        <v>34</v>
      </c>
      <c r="F6" s="12" t="s">
        <v>22</v>
      </c>
      <c r="G6" s="23" t="s">
        <v>52</v>
      </c>
      <c r="H6" s="12" t="s">
        <v>23</v>
      </c>
      <c r="I6" s="6" t="s">
        <v>24</v>
      </c>
      <c r="J6" s="37"/>
      <c r="K6" s="37"/>
      <c r="L6" s="37"/>
    </row>
    <row r="7" spans="1:13" x14ac:dyDescent="0.25">
      <c r="A7" s="29">
        <v>1</v>
      </c>
      <c r="B7" s="30">
        <v>13</v>
      </c>
      <c r="C7" s="30">
        <v>-40.150787000000001</v>
      </c>
      <c r="D7" s="19" t="s">
        <v>30</v>
      </c>
      <c r="E7" s="19" t="s">
        <v>30</v>
      </c>
      <c r="F7" s="30">
        <f>$M$3-C7</f>
        <v>34.438136999999998</v>
      </c>
      <c r="G7" s="19" t="s">
        <v>30</v>
      </c>
      <c r="H7" s="19" t="s">
        <v>30</v>
      </c>
      <c r="I7" s="20" t="s">
        <v>30</v>
      </c>
      <c r="J7" s="37"/>
      <c r="K7" s="9"/>
      <c r="L7" s="37"/>
    </row>
    <row r="8" spans="1:13" x14ac:dyDescent="0.25">
      <c r="A8" s="29">
        <f>A7*2</f>
        <v>2</v>
      </c>
      <c r="B8" s="30">
        <v>6.5</v>
      </c>
      <c r="C8" s="30">
        <v>14.196161999999999</v>
      </c>
      <c r="D8" s="30">
        <f>F7/F8</f>
        <v>-1.7297936712647646</v>
      </c>
      <c r="E8" s="30">
        <f>(C9-C7)/(C9-C8)</f>
        <v>-1.6816037370203958</v>
      </c>
      <c r="F8" s="30">
        <f>$M$3-C8</f>
        <v>-19.908811999999998</v>
      </c>
      <c r="G8" s="30">
        <f>(C8-C7)/15</f>
        <v>3.6231299333333333</v>
      </c>
      <c r="H8" s="30">
        <f>C8+G8</f>
        <v>17.819291933333332</v>
      </c>
      <c r="I8" s="31">
        <f>$M$3-H8</f>
        <v>-23.531941933333332</v>
      </c>
      <c r="J8" s="37"/>
      <c r="K8" s="37"/>
      <c r="L8" s="37"/>
    </row>
    <row r="9" spans="1:13" x14ac:dyDescent="0.25">
      <c r="A9" s="29">
        <f t="shared" ref="A9:A19" si="0">A8*2</f>
        <v>4</v>
      </c>
      <c r="B9" s="30">
        <v>3.25</v>
      </c>
      <c r="C9" s="30">
        <v>-6.0704225999999997</v>
      </c>
      <c r="D9" s="30">
        <f t="shared" ref="D9:D19" si="1">F8/F9</f>
        <v>-55.646553145769175</v>
      </c>
      <c r="E9" s="30">
        <f t="shared" ref="E9:E19" si="2">(C10-C8)/(C10-C9)</f>
        <v>-58.411526254089111</v>
      </c>
      <c r="F9" s="30">
        <f t="shared" ref="F9:F19" si="3">$M$3-C9</f>
        <v>0.35777259999999966</v>
      </c>
      <c r="G9" s="30">
        <f t="shared" ref="G9:G19" si="4">(C9-C8)/15</f>
        <v>-1.3511056399999999</v>
      </c>
      <c r="H9" s="30">
        <f t="shared" ref="H9:H19" si="5">C9+G9</f>
        <v>-7.4215282399999998</v>
      </c>
      <c r="I9" s="31">
        <f t="shared" ref="I9:I19" si="6">$M$3-H9</f>
        <v>1.7088782399999998</v>
      </c>
      <c r="J9" s="37"/>
      <c r="K9" s="37"/>
      <c r="L9" s="37"/>
    </row>
    <row r="10" spans="1:13" x14ac:dyDescent="0.25">
      <c r="A10" s="29">
        <f t="shared" si="0"/>
        <v>8</v>
      </c>
      <c r="B10" s="30">
        <v>1.625</v>
      </c>
      <c r="C10" s="30">
        <v>-5.7293004999999999</v>
      </c>
      <c r="D10" s="30">
        <f t="shared" si="1"/>
        <v>21.487198582625254</v>
      </c>
      <c r="E10" s="30">
        <f t="shared" si="2"/>
        <v>22.761481292463426</v>
      </c>
      <c r="F10" s="30">
        <f t="shared" si="3"/>
        <v>1.6650499999999901E-2</v>
      </c>
      <c r="G10" s="30">
        <f t="shared" si="4"/>
        <v>2.2741473333333317E-2</v>
      </c>
      <c r="H10" s="30">
        <f t="shared" si="5"/>
        <v>-5.7065590266666666</v>
      </c>
      <c r="I10" s="31">
        <f t="shared" si="6"/>
        <v>-6.090973333333416E-3</v>
      </c>
      <c r="J10" s="37"/>
      <c r="K10" s="37"/>
      <c r="L10" s="37"/>
    </row>
    <row r="11" spans="1:13" x14ac:dyDescent="0.25">
      <c r="A11" s="29">
        <f t="shared" si="0"/>
        <v>16</v>
      </c>
      <c r="B11" s="30">
        <v>0.8125</v>
      </c>
      <c r="C11" s="30">
        <v>-5.7136250000000004</v>
      </c>
      <c r="D11" s="30">
        <f t="shared" si="1"/>
        <v>17.077435897428927</v>
      </c>
      <c r="E11" s="30">
        <f t="shared" si="2"/>
        <v>18.13918652961765</v>
      </c>
      <c r="F11" s="30">
        <f t="shared" si="3"/>
        <v>9.7500000000039222E-4</v>
      </c>
      <c r="G11" s="30">
        <f t="shared" si="4"/>
        <v>1.0450333333333005E-3</v>
      </c>
      <c r="H11" s="30">
        <f t="shared" si="5"/>
        <v>-5.7125799666666675</v>
      </c>
      <c r="I11" s="31">
        <f t="shared" si="6"/>
        <v>-7.0033333332553127E-5</v>
      </c>
      <c r="J11" s="37"/>
      <c r="K11" s="37"/>
      <c r="L11" s="37"/>
    </row>
    <row r="12" spans="1:13" x14ac:dyDescent="0.25">
      <c r="A12" s="29">
        <f t="shared" si="0"/>
        <v>32</v>
      </c>
      <c r="B12" s="30">
        <v>0.40625</v>
      </c>
      <c r="C12" s="30">
        <v>-5.7127103999999997</v>
      </c>
      <c r="D12" s="30">
        <f t="shared" si="1"/>
        <v>16.142384106036662</v>
      </c>
      <c r="E12" s="30">
        <f t="shared" si="2"/>
        <v>17.390681003548572</v>
      </c>
      <c r="F12" s="30">
        <f t="shared" si="3"/>
        <v>6.0399999999738441E-5</v>
      </c>
      <c r="G12" s="30">
        <f t="shared" si="4"/>
        <v>6.0973333333376919E-5</v>
      </c>
      <c r="H12" s="30">
        <f t="shared" si="5"/>
        <v>-5.7126494266666663</v>
      </c>
      <c r="I12" s="31">
        <f t="shared" si="6"/>
        <v>-5.733333336976898E-7</v>
      </c>
      <c r="J12" s="37"/>
      <c r="K12" s="37"/>
      <c r="L12" s="37"/>
    </row>
    <row r="13" spans="1:13" x14ac:dyDescent="0.25">
      <c r="A13" s="29">
        <f t="shared" si="0"/>
        <v>64</v>
      </c>
      <c r="B13" s="30">
        <v>0.203125</v>
      </c>
      <c r="C13" s="30">
        <v>-5.7126545999999996</v>
      </c>
      <c r="D13" s="30">
        <f t="shared" si="1"/>
        <v>13.130434783758794</v>
      </c>
      <c r="E13" s="30">
        <f t="shared" si="2"/>
        <v>11.528301887292033</v>
      </c>
      <c r="F13" s="30">
        <f t="shared" si="3"/>
        <v>4.5999999995771645E-6</v>
      </c>
      <c r="G13" s="30">
        <f t="shared" si="4"/>
        <v>3.7200000000107518E-6</v>
      </c>
      <c r="H13" s="30">
        <f t="shared" si="5"/>
        <v>-5.71265088</v>
      </c>
      <c r="I13" s="31">
        <f t="shared" si="6"/>
        <v>8.7999999998089606E-7</v>
      </c>
      <c r="J13" s="37"/>
      <c r="K13" s="37"/>
      <c r="L13" s="37"/>
    </row>
    <row r="14" spans="1:13" x14ac:dyDescent="0.25">
      <c r="A14" s="29">
        <f t="shared" si="0"/>
        <v>128</v>
      </c>
      <c r="B14" s="30">
        <v>0.1015625</v>
      </c>
      <c r="C14" s="30">
        <v>-5.7126492999999998</v>
      </c>
      <c r="D14" s="30">
        <f t="shared" si="1"/>
        <v>-6.5714285690721796</v>
      </c>
      <c r="E14" s="30">
        <f t="shared" si="2"/>
        <v>-0.82758620672757599</v>
      </c>
      <c r="F14" s="30">
        <f t="shared" si="3"/>
        <v>-7.0000000018666242E-7</v>
      </c>
      <c r="G14" s="30">
        <f t="shared" si="4"/>
        <v>3.5333333331758846E-7</v>
      </c>
      <c r="H14" s="30">
        <f t="shared" si="5"/>
        <v>-5.7126489466666666</v>
      </c>
      <c r="I14" s="31">
        <f t="shared" si="6"/>
        <v>-1.053333333445039E-6</v>
      </c>
      <c r="J14" s="37"/>
      <c r="K14" s="37"/>
      <c r="L14" s="37"/>
    </row>
    <row r="15" spans="1:13" x14ac:dyDescent="0.25">
      <c r="A15" s="29">
        <f t="shared" si="0"/>
        <v>256</v>
      </c>
      <c r="B15" s="30">
        <v>5.078125E-2</v>
      </c>
      <c r="C15" s="30">
        <v>-5.7126522</v>
      </c>
      <c r="D15" s="30">
        <f t="shared" si="1"/>
        <v>-0.31818181827357217</v>
      </c>
      <c r="E15" s="30">
        <f t="shared" si="2"/>
        <v>-1.0714285709754192</v>
      </c>
      <c r="F15" s="30">
        <f t="shared" si="3"/>
        <v>2.1999999999522402E-6</v>
      </c>
      <c r="G15" s="30">
        <f t="shared" si="4"/>
        <v>-1.9333333334259351E-7</v>
      </c>
      <c r="H15" s="30">
        <f t="shared" si="5"/>
        <v>-5.7126523933333333</v>
      </c>
      <c r="I15" s="31">
        <f t="shared" si="6"/>
        <v>2.3933333332948337E-6</v>
      </c>
      <c r="J15" s="37"/>
      <c r="K15" s="37"/>
      <c r="L15" s="37"/>
    </row>
    <row r="16" spans="1:13" x14ac:dyDescent="0.25">
      <c r="A16" s="29">
        <f t="shared" si="0"/>
        <v>512</v>
      </c>
      <c r="B16" s="30">
        <v>2.5390630000000001E-2</v>
      </c>
      <c r="C16" s="30">
        <v>-5.7126507999999996</v>
      </c>
      <c r="D16" s="30">
        <f t="shared" si="1"/>
        <v>2.7500000013877788</v>
      </c>
      <c r="E16" s="30">
        <f t="shared" si="2"/>
        <v>1.3255813954641227</v>
      </c>
      <c r="F16" s="30">
        <f t="shared" si="3"/>
        <v>7.9999999957891532E-7</v>
      </c>
      <c r="G16" s="30">
        <f t="shared" si="4"/>
        <v>9.3333333358221651E-8</v>
      </c>
      <c r="H16" s="30">
        <f t="shared" si="5"/>
        <v>-5.7126507066666665</v>
      </c>
      <c r="I16" s="31">
        <f t="shared" si="6"/>
        <v>7.0666666651675314E-7</v>
      </c>
      <c r="J16" s="37"/>
      <c r="K16" s="37"/>
      <c r="L16" s="37"/>
    </row>
    <row r="17" spans="1:12" x14ac:dyDescent="0.25">
      <c r="A17" s="29">
        <f t="shared" si="0"/>
        <v>1024</v>
      </c>
      <c r="B17" s="30">
        <v>1.269531E-2</v>
      </c>
      <c r="C17" s="30">
        <v>-5.7126465</v>
      </c>
      <c r="D17" s="30">
        <f t="shared" si="1"/>
        <v>-0.22857142844817116</v>
      </c>
      <c r="E17" s="30">
        <f t="shared" si="2"/>
        <v>5.2999999990230036</v>
      </c>
      <c r="F17" s="30">
        <f t="shared" si="3"/>
        <v>-3.5000000000451337E-6</v>
      </c>
      <c r="G17" s="30">
        <f t="shared" si="4"/>
        <v>2.8666666664160325E-7</v>
      </c>
      <c r="H17" s="30">
        <f t="shared" si="5"/>
        <v>-5.7126462133333336</v>
      </c>
      <c r="I17" s="31">
        <f t="shared" si="6"/>
        <v>-3.7866666664498894E-6</v>
      </c>
      <c r="J17" s="37"/>
      <c r="K17" s="37"/>
      <c r="L17" s="37"/>
    </row>
    <row r="18" spans="1:12" x14ac:dyDescent="0.25">
      <c r="A18" s="29">
        <f t="shared" si="0"/>
        <v>2048</v>
      </c>
      <c r="B18" s="30">
        <v>6.3476599999999998E-3</v>
      </c>
      <c r="C18" s="30">
        <v>-5.7126454999999998</v>
      </c>
      <c r="D18" s="30">
        <f t="shared" si="1"/>
        <v>0.77777777775584744</v>
      </c>
      <c r="E18" s="30">
        <f t="shared" si="2"/>
        <v>1.232558139587723</v>
      </c>
      <c r="F18" s="30">
        <f t="shared" si="3"/>
        <v>-4.5000000001849116E-6</v>
      </c>
      <c r="G18" s="30">
        <f t="shared" si="4"/>
        <v>6.6666666675985195E-8</v>
      </c>
      <c r="H18" s="30">
        <f t="shared" si="5"/>
        <v>-5.712645433333333</v>
      </c>
      <c r="I18" s="31">
        <f t="shared" si="6"/>
        <v>-4.5666666670385325E-6</v>
      </c>
      <c r="J18" s="37"/>
      <c r="K18" s="37"/>
      <c r="L18" s="37"/>
    </row>
    <row r="19" spans="1:12" ht="15.75" thickBot="1" x14ac:dyDescent="0.3">
      <c r="A19" s="32">
        <f t="shared" si="0"/>
        <v>4096</v>
      </c>
      <c r="B19" s="33">
        <v>3.1738299999999999E-3</v>
      </c>
      <c r="C19" s="33">
        <v>-5.7126412000000002</v>
      </c>
      <c r="D19" s="33">
        <f t="shared" si="1"/>
        <v>0.51136363639575022</v>
      </c>
      <c r="E19" s="33">
        <f t="shared" si="2"/>
        <v>1.0000007527166241</v>
      </c>
      <c r="F19" s="33">
        <f t="shared" si="3"/>
        <v>-8.7999999998089606E-6</v>
      </c>
      <c r="G19" s="33">
        <f t="shared" si="4"/>
        <v>2.8666666664160325E-7</v>
      </c>
      <c r="H19" s="33">
        <f t="shared" si="5"/>
        <v>-5.7126409133333338</v>
      </c>
      <c r="I19" s="34">
        <f t="shared" si="6"/>
        <v>-9.0866666662137163E-6</v>
      </c>
      <c r="J19" s="37"/>
      <c r="K19" s="37"/>
      <c r="L19" s="37"/>
    </row>
    <row r="20" spans="1:12" x14ac:dyDescent="0.25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</row>
    <row r="21" spans="1:12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7"/>
      <c r="K21" s="37"/>
      <c r="L21" s="37"/>
    </row>
    <row r="22" spans="1:12" ht="15.75" thickBo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7"/>
      <c r="K22" s="37"/>
      <c r="L22" s="37"/>
    </row>
    <row r="23" spans="1:12" x14ac:dyDescent="0.25">
      <c r="A23" s="68" t="s">
        <v>40</v>
      </c>
      <c r="B23" s="69"/>
      <c r="C23" s="69"/>
      <c r="D23" s="69"/>
      <c r="E23" s="69"/>
      <c r="F23" s="69"/>
      <c r="G23" s="69"/>
      <c r="H23" s="69"/>
      <c r="I23" s="70"/>
      <c r="J23" s="37"/>
      <c r="K23" s="37"/>
      <c r="L23" s="37"/>
    </row>
    <row r="24" spans="1:12" x14ac:dyDescent="0.25">
      <c r="A24" s="71" t="s">
        <v>41</v>
      </c>
      <c r="B24" s="72"/>
      <c r="C24" s="72"/>
      <c r="D24" s="72"/>
      <c r="E24" s="72"/>
      <c r="F24" s="72"/>
      <c r="G24" s="72"/>
      <c r="H24" s="72"/>
      <c r="I24" s="73"/>
      <c r="J24" s="37"/>
      <c r="K24" s="37"/>
      <c r="L24" s="37"/>
    </row>
    <row r="25" spans="1:12" x14ac:dyDescent="0.25">
      <c r="A25" s="71" t="s">
        <v>44</v>
      </c>
      <c r="B25" s="72"/>
      <c r="C25" s="72"/>
      <c r="D25" s="72"/>
      <c r="E25" s="72"/>
      <c r="F25" s="72"/>
      <c r="G25" s="72"/>
      <c r="H25" s="72"/>
      <c r="I25" s="73"/>
      <c r="J25" s="37"/>
      <c r="K25" s="37"/>
      <c r="L25" s="37"/>
    </row>
    <row r="26" spans="1:12" x14ac:dyDescent="0.25">
      <c r="A26" s="71" t="s">
        <v>47</v>
      </c>
      <c r="B26" s="72"/>
      <c r="C26" s="72"/>
      <c r="D26" s="72"/>
      <c r="E26" s="72"/>
      <c r="F26" s="72"/>
      <c r="G26" s="72"/>
      <c r="H26" s="72"/>
      <c r="I26" s="73"/>
      <c r="J26" s="37"/>
      <c r="K26" s="37"/>
      <c r="L26" s="37"/>
    </row>
    <row r="27" spans="1:12" ht="124.5" customHeight="1" x14ac:dyDescent="0.25">
      <c r="A27" s="14" t="s">
        <v>3</v>
      </c>
      <c r="B27" s="13" t="s">
        <v>31</v>
      </c>
      <c r="C27" s="13" t="s">
        <v>4</v>
      </c>
      <c r="D27" s="13" t="s">
        <v>11</v>
      </c>
      <c r="E27" s="13" t="s">
        <v>32</v>
      </c>
      <c r="F27" s="13" t="s">
        <v>5</v>
      </c>
      <c r="G27" s="13" t="s">
        <v>6</v>
      </c>
      <c r="H27" s="13" t="s">
        <v>7</v>
      </c>
      <c r="I27" s="15" t="s">
        <v>8</v>
      </c>
      <c r="J27" s="37"/>
      <c r="K27" s="37"/>
      <c r="L27" s="37"/>
    </row>
    <row r="28" spans="1:12" x14ac:dyDescent="0.25">
      <c r="A28" s="16" t="s">
        <v>9</v>
      </c>
      <c r="B28" s="5" t="s">
        <v>33</v>
      </c>
      <c r="C28" s="5" t="s">
        <v>20</v>
      </c>
      <c r="D28" s="5" t="s">
        <v>21</v>
      </c>
      <c r="E28" s="5" t="s">
        <v>34</v>
      </c>
      <c r="F28" s="12" t="s">
        <v>22</v>
      </c>
      <c r="G28" s="23" t="s">
        <v>52</v>
      </c>
      <c r="H28" s="12" t="s">
        <v>23</v>
      </c>
      <c r="I28" s="6" t="s">
        <v>24</v>
      </c>
      <c r="J28" s="37"/>
      <c r="K28" s="37"/>
      <c r="L28" s="37"/>
    </row>
    <row r="29" spans="1:12" x14ac:dyDescent="0.25">
      <c r="A29" s="29">
        <v>1</v>
      </c>
      <c r="B29" s="30">
        <v>8</v>
      </c>
      <c r="C29" s="30">
        <v>94184</v>
      </c>
      <c r="D29" s="19" t="s">
        <v>30</v>
      </c>
      <c r="E29" s="19" t="s">
        <v>30</v>
      </c>
      <c r="F29" s="30">
        <f t="shared" ref="F29:F40" si="7">$M$2-C29</f>
        <v>-50517.333333333299</v>
      </c>
      <c r="G29" s="19" t="s">
        <v>30</v>
      </c>
      <c r="H29" s="19" t="s">
        <v>30</v>
      </c>
      <c r="I29" s="20" t="s">
        <v>30</v>
      </c>
      <c r="J29" s="37"/>
      <c r="K29" s="37"/>
      <c r="L29" s="37"/>
    </row>
    <row r="30" spans="1:12" x14ac:dyDescent="0.25">
      <c r="A30" s="29">
        <f t="shared" ref="A30:A40" si="8">A29*2</f>
        <v>2</v>
      </c>
      <c r="B30" s="30">
        <v>4</v>
      </c>
      <c r="C30" s="30">
        <v>51944</v>
      </c>
      <c r="D30" s="30">
        <f t="shared" ref="D30:D40" si="9">F29/F30</f>
        <v>6.1030927835051756</v>
      </c>
      <c r="E30" s="30">
        <f t="shared" ref="E30:E39" si="10">(C31-C29)/(C31-C30)</f>
        <v>6.5</v>
      </c>
      <c r="F30" s="30">
        <f t="shared" si="7"/>
        <v>-8277.3333333332994</v>
      </c>
      <c r="G30" s="30">
        <f>(C30-C29)/15</f>
        <v>-2816</v>
      </c>
      <c r="H30" s="30">
        <f t="shared" ref="H30:H40" si="11">C30+G30</f>
        <v>49128</v>
      </c>
      <c r="I30" s="31">
        <f t="shared" ref="I30:I40" si="12">$M$2-H30</f>
        <v>-5461.3333333332994</v>
      </c>
      <c r="J30" s="37"/>
      <c r="K30" s="37"/>
      <c r="L30" s="37"/>
    </row>
    <row r="31" spans="1:12" x14ac:dyDescent="0.25">
      <c r="A31" s="29">
        <f t="shared" si="8"/>
        <v>4</v>
      </c>
      <c r="B31" s="30">
        <v>2</v>
      </c>
      <c r="C31" s="30">
        <v>44264</v>
      </c>
      <c r="D31" s="30">
        <f t="shared" si="9"/>
        <v>13.857142857143588</v>
      </c>
      <c r="E31" s="30">
        <f t="shared" si="10"/>
        <v>14.74496644295302</v>
      </c>
      <c r="F31" s="30">
        <f t="shared" si="7"/>
        <v>-597.33333333329938</v>
      </c>
      <c r="G31" s="30">
        <f t="shared" ref="G31:G40" si="13">(C31-C30)/15</f>
        <v>-512</v>
      </c>
      <c r="H31" s="30">
        <f t="shared" si="11"/>
        <v>43752</v>
      </c>
      <c r="I31" s="31">
        <f t="shared" si="12"/>
        <v>-85.333333333299379</v>
      </c>
      <c r="J31" s="37"/>
      <c r="K31" s="37"/>
      <c r="L31" s="37"/>
    </row>
    <row r="32" spans="1:12" x14ac:dyDescent="0.25">
      <c r="A32" s="29">
        <f t="shared" si="8"/>
        <v>8</v>
      </c>
      <c r="B32" s="30">
        <v>1</v>
      </c>
      <c r="C32" s="30">
        <v>43705.25</v>
      </c>
      <c r="D32" s="30">
        <f t="shared" si="9"/>
        <v>15.481641468695249</v>
      </c>
      <c r="E32" s="30">
        <f t="shared" si="10"/>
        <v>16.455576454967115</v>
      </c>
      <c r="F32" s="30">
        <f t="shared" si="7"/>
        <v>-38.583333333299379</v>
      </c>
      <c r="G32" s="30">
        <f t="shared" si="13"/>
        <v>-37.25</v>
      </c>
      <c r="H32" s="30">
        <f t="shared" si="11"/>
        <v>43668</v>
      </c>
      <c r="I32" s="31">
        <f t="shared" si="12"/>
        <v>-1.3333333332993789</v>
      </c>
      <c r="J32" s="37"/>
      <c r="K32" s="37"/>
      <c r="L32" s="37"/>
    </row>
    <row r="33" spans="1:12" x14ac:dyDescent="0.25">
      <c r="A33" s="29">
        <f t="shared" si="8"/>
        <v>16</v>
      </c>
      <c r="B33" s="30">
        <v>0.5</v>
      </c>
      <c r="C33" s="30">
        <v>43669.097999999998</v>
      </c>
      <c r="D33" s="30">
        <f t="shared" si="9"/>
        <v>15.869207568083809</v>
      </c>
      <c r="E33" s="30">
        <f t="shared" si="10"/>
        <v>16.842243645930697</v>
      </c>
      <c r="F33" s="30">
        <f t="shared" si="7"/>
        <v>-2.4313333332975162</v>
      </c>
      <c r="G33" s="30">
        <f t="shared" si="13"/>
        <v>-2.4101333333334574</v>
      </c>
      <c r="H33" s="30">
        <f t="shared" si="11"/>
        <v>43666.687866666667</v>
      </c>
      <c r="I33" s="31">
        <f t="shared" si="12"/>
        <v>-2.1199999966484029E-2</v>
      </c>
      <c r="J33" s="37"/>
      <c r="K33" s="37"/>
      <c r="L33" s="37"/>
    </row>
    <row r="34" spans="1:12" x14ac:dyDescent="0.25">
      <c r="A34" s="29">
        <f t="shared" si="8"/>
        <v>32</v>
      </c>
      <c r="B34" s="30">
        <v>0.25</v>
      </c>
      <c r="C34" s="30">
        <v>43666.815999999999</v>
      </c>
      <c r="D34" s="30">
        <f t="shared" si="9"/>
        <v>16.28125000358266</v>
      </c>
      <c r="E34" s="30">
        <f t="shared" si="10"/>
        <v>17.300000000062365</v>
      </c>
      <c r="F34" s="30">
        <f t="shared" si="7"/>
        <v>-0.14933333329827292</v>
      </c>
      <c r="G34" s="30">
        <f t="shared" si="13"/>
        <v>-0.15213333333328288</v>
      </c>
      <c r="H34" s="30">
        <f t="shared" si="11"/>
        <v>43666.663866666662</v>
      </c>
      <c r="I34" s="31">
        <f t="shared" si="12"/>
        <v>2.8000000384054147E-3</v>
      </c>
      <c r="J34" s="37"/>
      <c r="K34" s="37"/>
      <c r="L34" s="37"/>
    </row>
    <row r="35" spans="1:12" x14ac:dyDescent="0.25">
      <c r="A35" s="29">
        <f t="shared" si="8"/>
        <v>64</v>
      </c>
      <c r="B35" s="30">
        <v>0.125</v>
      </c>
      <c r="C35" s="30">
        <v>43666.675999999999</v>
      </c>
      <c r="D35" s="30">
        <f t="shared" si="9"/>
        <v>16.000000055349251</v>
      </c>
      <c r="E35" s="30">
        <f t="shared" si="10"/>
        <v>12.666666664241347</v>
      </c>
      <c r="F35" s="30">
        <f t="shared" si="7"/>
        <v>-9.3333332988549955E-3</v>
      </c>
      <c r="G35" s="30">
        <f t="shared" si="13"/>
        <v>-9.3333333332945283E-3</v>
      </c>
      <c r="H35" s="30">
        <f t="shared" si="11"/>
        <v>43666.666666666664</v>
      </c>
      <c r="I35" s="31">
        <f t="shared" si="12"/>
        <v>0</v>
      </c>
      <c r="J35" s="37"/>
      <c r="K35" s="37"/>
      <c r="L35" s="37"/>
    </row>
    <row r="36" spans="1:12" x14ac:dyDescent="0.25">
      <c r="A36" s="29">
        <f t="shared" si="8"/>
        <v>128</v>
      </c>
      <c r="B36" s="30">
        <v>6.25E-2</v>
      </c>
      <c r="C36" s="30">
        <v>43666.663999999997</v>
      </c>
      <c r="D36" s="30">
        <f t="shared" si="9"/>
        <v>-3.4999999386091085</v>
      </c>
      <c r="E36" s="30">
        <f t="shared" si="10"/>
        <v>-0.5</v>
      </c>
      <c r="F36" s="30">
        <f t="shared" si="7"/>
        <v>2.6666667035897262E-3</v>
      </c>
      <c r="G36" s="30">
        <f t="shared" si="13"/>
        <v>-8.0000000016298143E-4</v>
      </c>
      <c r="H36" s="30">
        <f t="shared" si="11"/>
        <v>43666.663199999995</v>
      </c>
      <c r="I36" s="31">
        <f t="shared" si="12"/>
        <v>3.4666667052078992E-3</v>
      </c>
      <c r="J36" s="37"/>
      <c r="K36" s="37"/>
      <c r="L36" s="37"/>
    </row>
    <row r="37" spans="1:12" x14ac:dyDescent="0.25">
      <c r="A37" s="29">
        <f t="shared" si="8"/>
        <v>256</v>
      </c>
      <c r="B37" s="30">
        <v>3.125E-2</v>
      </c>
      <c r="C37" s="30">
        <v>43666.671999999999</v>
      </c>
      <c r="D37" s="30">
        <f t="shared" si="9"/>
        <v>-0.50000001023181551</v>
      </c>
      <c r="E37" s="30">
        <f t="shared" si="10"/>
        <v>0</v>
      </c>
      <c r="F37" s="30">
        <f t="shared" si="7"/>
        <v>-5.3333332980400883E-3</v>
      </c>
      <c r="G37" s="30">
        <f t="shared" si="13"/>
        <v>5.3333333344198766E-4</v>
      </c>
      <c r="H37" s="30">
        <f t="shared" si="11"/>
        <v>43666.672533333331</v>
      </c>
      <c r="I37" s="31">
        <f t="shared" si="12"/>
        <v>-5.8666666300268844E-3</v>
      </c>
      <c r="J37" s="37"/>
      <c r="K37" s="37"/>
      <c r="L37" s="37"/>
    </row>
    <row r="38" spans="1:12" x14ac:dyDescent="0.25">
      <c r="A38" s="29">
        <f t="shared" si="8"/>
        <v>512</v>
      </c>
      <c r="B38" s="30">
        <v>1.5625E-2</v>
      </c>
      <c r="C38" s="30">
        <v>43666.663999999997</v>
      </c>
      <c r="D38" s="30">
        <f t="shared" si="9"/>
        <v>-1.9999999590727391</v>
      </c>
      <c r="E38" s="30">
        <f t="shared" si="10"/>
        <v>3.0000000036379788</v>
      </c>
      <c r="F38" s="30">
        <f t="shared" si="7"/>
        <v>2.6666667035897262E-3</v>
      </c>
      <c r="G38" s="30">
        <f t="shared" si="13"/>
        <v>-5.3333333344198766E-4</v>
      </c>
      <c r="H38" s="30">
        <f t="shared" si="11"/>
        <v>43666.663466666665</v>
      </c>
      <c r="I38" s="31">
        <f t="shared" si="12"/>
        <v>3.2000000355765224E-3</v>
      </c>
      <c r="J38" s="37"/>
      <c r="K38" s="37"/>
      <c r="L38" s="37"/>
    </row>
    <row r="39" spans="1:12" x14ac:dyDescent="0.25">
      <c r="A39" s="29">
        <f t="shared" si="8"/>
        <v>1024</v>
      </c>
      <c r="B39" s="30">
        <v>7.8125E-3</v>
      </c>
      <c r="C39" s="30">
        <v>43666.66</v>
      </c>
      <c r="D39" s="30">
        <f t="shared" si="9"/>
        <v>0.40000000371073835</v>
      </c>
      <c r="E39" s="30">
        <f t="shared" si="10"/>
        <v>0.75000000034106051</v>
      </c>
      <c r="F39" s="30">
        <f t="shared" si="7"/>
        <v>6.6666666971286759E-3</v>
      </c>
      <c r="G39" s="30">
        <f t="shared" si="13"/>
        <v>-2.6666666623592996E-4</v>
      </c>
      <c r="H39" s="30">
        <f t="shared" si="11"/>
        <v>43666.659733333334</v>
      </c>
      <c r="I39" s="31">
        <f t="shared" si="12"/>
        <v>6.9333333667600527E-3</v>
      </c>
      <c r="J39" s="37"/>
      <c r="K39" s="37"/>
      <c r="L39" s="37"/>
    </row>
    <row r="40" spans="1:12" ht="15.75" thickBot="1" x14ac:dyDescent="0.3">
      <c r="A40" s="32">
        <f t="shared" si="8"/>
        <v>2048</v>
      </c>
      <c r="B40" s="33">
        <v>3.90625E-3</v>
      </c>
      <c r="C40" s="33">
        <v>43666.675999999999</v>
      </c>
      <c r="D40" s="33">
        <f t="shared" si="9"/>
        <v>-0.71428572018814929</v>
      </c>
      <c r="E40" s="33">
        <f>(C52-C39)/(C52-C40)</f>
        <v>0.9999996335878647</v>
      </c>
      <c r="F40" s="33">
        <f t="shared" si="7"/>
        <v>-9.3333332988549955E-3</v>
      </c>
      <c r="G40" s="33">
        <f t="shared" si="13"/>
        <v>1.0666666663989115E-3</v>
      </c>
      <c r="H40" s="33">
        <f t="shared" si="11"/>
        <v>43666.677066666663</v>
      </c>
      <c r="I40" s="34">
        <f t="shared" si="12"/>
        <v>-1.0399999962828588E-2</v>
      </c>
      <c r="J40" s="37"/>
      <c r="K40" s="37"/>
      <c r="L40" s="37"/>
    </row>
    <row r="41" spans="1:12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spans="1:12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spans="1:12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1:12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spans="1:12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spans="1:12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spans="1:12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2" spans="1:12" x14ac:dyDescent="0.25">
      <c r="A52" s="8"/>
      <c r="B52" s="27"/>
      <c r="C52" s="27"/>
      <c r="D52" s="27"/>
      <c r="E52" s="27"/>
      <c r="F52" s="27"/>
      <c r="G52" s="27"/>
      <c r="H52" s="27"/>
      <c r="I52" s="27"/>
    </row>
    <row r="53" spans="1:12" x14ac:dyDescent="0.25">
      <c r="A53" s="8"/>
      <c r="B53" s="27"/>
      <c r="C53" s="27"/>
      <c r="D53" s="27"/>
      <c r="E53" s="27"/>
      <c r="F53" s="27"/>
      <c r="G53" s="27"/>
      <c r="H53" s="27"/>
      <c r="I53" s="27"/>
    </row>
    <row r="54" spans="1:12" x14ac:dyDescent="0.25">
      <c r="A54" s="8"/>
      <c r="B54" s="27"/>
      <c r="C54" s="27"/>
      <c r="D54" s="27"/>
      <c r="E54" s="27"/>
      <c r="F54" s="27"/>
      <c r="G54" s="27"/>
      <c r="H54" s="27"/>
      <c r="I54" s="27"/>
    </row>
    <row r="55" spans="1:12" x14ac:dyDescent="0.25">
      <c r="A55" s="8"/>
      <c r="B55" s="27"/>
      <c r="C55" s="27"/>
      <c r="D55" s="27"/>
      <c r="E55" s="27"/>
      <c r="F55" s="27"/>
      <c r="G55" s="27"/>
      <c r="H55" s="27"/>
      <c r="I55" s="27"/>
    </row>
    <row r="56" spans="1:12" x14ac:dyDescent="0.25">
      <c r="A56" s="8"/>
      <c r="B56" s="27"/>
      <c r="C56" s="27"/>
      <c r="D56" s="27"/>
      <c r="E56" s="27"/>
      <c r="F56" s="27"/>
      <c r="G56" s="27"/>
      <c r="H56" s="27"/>
      <c r="I56" s="27"/>
    </row>
    <row r="57" spans="1:12" x14ac:dyDescent="0.25">
      <c r="A57" s="8"/>
      <c r="B57" s="27"/>
      <c r="C57" s="27"/>
      <c r="D57" s="27"/>
      <c r="E57" s="27"/>
      <c r="F57" s="27"/>
      <c r="G57" s="27"/>
      <c r="H57" s="27"/>
      <c r="I57" s="27"/>
    </row>
    <row r="58" spans="1:12" x14ac:dyDescent="0.25">
      <c r="A58" s="8"/>
      <c r="B58" s="27"/>
      <c r="C58" s="27"/>
      <c r="D58" s="27"/>
      <c r="E58" s="27"/>
      <c r="F58" s="27"/>
      <c r="G58" s="27"/>
      <c r="H58" s="27"/>
      <c r="I58" s="27"/>
    </row>
    <row r="59" spans="1:12" x14ac:dyDescent="0.25">
      <c r="A59" s="8"/>
      <c r="B59" s="27"/>
      <c r="C59" s="27"/>
      <c r="D59" s="27"/>
      <c r="E59" s="27"/>
      <c r="F59" s="27"/>
      <c r="G59" s="27"/>
      <c r="H59" s="27"/>
      <c r="I59" s="27"/>
    </row>
    <row r="60" spans="1:12" x14ac:dyDescent="0.25">
      <c r="A60" s="8"/>
      <c r="B60" s="27"/>
      <c r="C60" s="27"/>
      <c r="D60" s="27"/>
      <c r="E60" s="27"/>
      <c r="F60" s="27"/>
      <c r="G60" s="27"/>
      <c r="H60" s="27"/>
      <c r="I60" s="27"/>
    </row>
    <row r="61" spans="1:12" x14ac:dyDescent="0.25">
      <c r="A61" s="8"/>
      <c r="B61" s="27"/>
      <c r="C61" s="27"/>
      <c r="D61" s="27"/>
      <c r="E61" s="27"/>
      <c r="F61" s="27"/>
      <c r="G61" s="27"/>
      <c r="H61" s="27"/>
      <c r="I61" s="27"/>
    </row>
    <row r="62" spans="1:12" x14ac:dyDescent="0.25">
      <c r="A62" s="8"/>
      <c r="B62" s="27"/>
      <c r="C62" s="27"/>
      <c r="D62" s="27"/>
      <c r="E62" s="27"/>
      <c r="F62" s="27"/>
      <c r="G62" s="27"/>
      <c r="H62" s="27"/>
      <c r="I62" s="27"/>
    </row>
    <row r="63" spans="1:12" x14ac:dyDescent="0.25">
      <c r="A63" s="8"/>
      <c r="B63" s="27"/>
      <c r="C63" s="27"/>
      <c r="D63" s="27"/>
      <c r="E63" s="27"/>
      <c r="F63" s="27"/>
      <c r="G63" s="27"/>
      <c r="H63" s="27"/>
      <c r="I63" s="27"/>
    </row>
  </sheetData>
  <mergeCells count="8">
    <mergeCell ref="A24:I24"/>
    <mergeCell ref="A25:I25"/>
    <mergeCell ref="A26:I26"/>
    <mergeCell ref="A1:I1"/>
    <mergeCell ref="A2:I2"/>
    <mergeCell ref="A3:I3"/>
    <mergeCell ref="A4:I4"/>
    <mergeCell ref="A23:I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42C-5635-42F9-BAC4-B961BB7E4C86}">
  <dimension ref="A1:O63"/>
  <sheetViews>
    <sheetView topLeftCell="A10" zoomScaleNormal="100" workbookViewId="0">
      <selection activeCell="G33" sqref="G33"/>
    </sheetView>
  </sheetViews>
  <sheetFormatPr defaultRowHeight="15" x14ac:dyDescent="0.25"/>
  <cols>
    <col min="1" max="1" width="8.5703125" bestFit="1" customWidth="1"/>
    <col min="2" max="9" width="15.7109375" customWidth="1"/>
    <col min="13" max="13" width="11.7109375" bestFit="1" customWidth="1"/>
  </cols>
  <sheetData>
    <row r="1" spans="1:15" x14ac:dyDescent="0.25">
      <c r="A1" s="62" t="s">
        <v>46</v>
      </c>
      <c r="B1" s="63"/>
      <c r="C1" s="63"/>
      <c r="D1" s="63"/>
      <c r="E1" s="63"/>
      <c r="F1" s="63"/>
      <c r="G1" s="63"/>
      <c r="H1" s="63"/>
      <c r="I1" s="64"/>
      <c r="J1" s="37"/>
      <c r="K1" s="37"/>
      <c r="L1" s="37"/>
      <c r="M1" s="37"/>
      <c r="N1" s="37"/>
      <c r="O1" s="37"/>
    </row>
    <row r="2" spans="1:15" x14ac:dyDescent="0.25">
      <c r="A2" s="65" t="s">
        <v>41</v>
      </c>
      <c r="B2" s="66"/>
      <c r="C2" s="66"/>
      <c r="D2" s="66"/>
      <c r="E2" s="66"/>
      <c r="F2" s="66"/>
      <c r="G2" s="66"/>
      <c r="H2" s="66"/>
      <c r="I2" s="67"/>
      <c r="J2" s="37"/>
      <c r="K2" s="37" t="s">
        <v>45</v>
      </c>
      <c r="L2" s="37"/>
      <c r="M2" s="37">
        <v>43666.666666666701</v>
      </c>
      <c r="N2" s="37"/>
      <c r="O2" s="37"/>
    </row>
    <row r="3" spans="1:15" x14ac:dyDescent="0.25">
      <c r="A3" s="65" t="s">
        <v>42</v>
      </c>
      <c r="B3" s="66"/>
      <c r="C3" s="66"/>
      <c r="D3" s="66"/>
      <c r="E3" s="66"/>
      <c r="F3" s="66"/>
      <c r="G3" s="66"/>
      <c r="H3" s="66"/>
      <c r="I3" s="67"/>
      <c r="J3" s="37"/>
      <c r="K3" s="37" t="s">
        <v>37</v>
      </c>
      <c r="L3" s="37"/>
      <c r="M3" s="39">
        <v>-5.71265</v>
      </c>
      <c r="N3" s="37"/>
      <c r="O3" s="37"/>
    </row>
    <row r="4" spans="1:15" x14ac:dyDescent="0.25">
      <c r="A4" s="65" t="s">
        <v>38</v>
      </c>
      <c r="B4" s="66"/>
      <c r="C4" s="66"/>
      <c r="D4" s="66"/>
      <c r="E4" s="66"/>
      <c r="F4" s="66"/>
      <c r="G4" s="66"/>
      <c r="H4" s="66"/>
      <c r="I4" s="67"/>
      <c r="J4" s="37"/>
      <c r="K4" s="37"/>
      <c r="L4" s="37"/>
      <c r="M4" s="37"/>
      <c r="N4" s="37"/>
      <c r="O4" s="37"/>
    </row>
    <row r="5" spans="1:15" ht="93" x14ac:dyDescent="0.25">
      <c r="A5" s="14" t="s">
        <v>3</v>
      </c>
      <c r="B5" s="13" t="s">
        <v>31</v>
      </c>
      <c r="C5" s="13" t="s">
        <v>4</v>
      </c>
      <c r="D5" s="13" t="s">
        <v>11</v>
      </c>
      <c r="E5" s="13" t="s">
        <v>32</v>
      </c>
      <c r="F5" s="13" t="s">
        <v>5</v>
      </c>
      <c r="G5" s="13" t="s">
        <v>6</v>
      </c>
      <c r="H5" s="13" t="s">
        <v>7</v>
      </c>
      <c r="I5" s="15" t="s">
        <v>8</v>
      </c>
      <c r="J5" s="37"/>
      <c r="K5" s="37"/>
      <c r="L5" s="37"/>
      <c r="M5" s="37"/>
      <c r="N5" s="37"/>
      <c r="O5" s="37"/>
    </row>
    <row r="6" spans="1:15" x14ac:dyDescent="0.25">
      <c r="A6" s="16" t="s">
        <v>9</v>
      </c>
      <c r="B6" s="5" t="s">
        <v>33</v>
      </c>
      <c r="C6" s="5" t="s">
        <v>20</v>
      </c>
      <c r="D6" s="5" t="s">
        <v>21</v>
      </c>
      <c r="E6" s="5" t="s">
        <v>34</v>
      </c>
      <c r="F6" s="12" t="s">
        <v>22</v>
      </c>
      <c r="G6" s="23" t="s">
        <v>52</v>
      </c>
      <c r="H6" s="12" t="s">
        <v>23</v>
      </c>
      <c r="I6" s="6" t="s">
        <v>24</v>
      </c>
      <c r="J6" s="37"/>
      <c r="K6" s="37"/>
      <c r="L6" s="37"/>
      <c r="M6" s="37"/>
      <c r="N6" s="37"/>
      <c r="O6" s="37"/>
    </row>
    <row r="7" spans="1:15" x14ac:dyDescent="0.25">
      <c r="A7" s="29">
        <v>1</v>
      </c>
      <c r="B7" s="30">
        <v>13</v>
      </c>
      <c r="C7" s="30">
        <v>15.259475999999999</v>
      </c>
      <c r="D7" s="19" t="s">
        <v>30</v>
      </c>
      <c r="E7" s="19" t="s">
        <v>30</v>
      </c>
      <c r="F7" s="30">
        <f>$M$3-C7</f>
        <v>-20.972125999999999</v>
      </c>
      <c r="G7" s="19" t="s">
        <v>30</v>
      </c>
      <c r="H7" s="19" t="s">
        <v>30</v>
      </c>
      <c r="I7" s="20" t="s">
        <v>30</v>
      </c>
      <c r="J7" s="37"/>
      <c r="K7" s="9"/>
      <c r="L7" s="37"/>
      <c r="M7" s="37"/>
      <c r="N7" s="37"/>
      <c r="O7" s="37"/>
    </row>
    <row r="8" spans="1:15" x14ac:dyDescent="0.25">
      <c r="A8" s="29">
        <f>A7*2</f>
        <v>2</v>
      </c>
      <c r="B8" s="30">
        <v>6.5</v>
      </c>
      <c r="C8" s="30">
        <v>1.3320262</v>
      </c>
      <c r="D8" s="30">
        <f>F7/F8</f>
        <v>2.9770177371672526</v>
      </c>
      <c r="E8" s="30">
        <f>(C9-C7)/(C9-C8)</f>
        <v>2.9350155861187153</v>
      </c>
      <c r="F8" s="30">
        <f>$M$3-C8</f>
        <v>-7.0446761999999996</v>
      </c>
      <c r="G8" s="30">
        <f>(C8-C7)/15</f>
        <v>-0.92849665333333331</v>
      </c>
      <c r="H8" s="30">
        <f>C8+G8</f>
        <v>0.40352954666666674</v>
      </c>
      <c r="I8" s="31">
        <f>$M$3-H8</f>
        <v>-6.1161795466666664</v>
      </c>
      <c r="J8" s="37"/>
      <c r="K8" s="37"/>
      <c r="L8" s="37"/>
      <c r="M8" s="37"/>
      <c r="N8" s="37"/>
      <c r="O8" s="37"/>
    </row>
    <row r="9" spans="1:15" x14ac:dyDescent="0.25">
      <c r="A9" s="29">
        <f t="shared" ref="A9:A19" si="0">A8*2</f>
        <v>4</v>
      </c>
      <c r="B9" s="30">
        <v>3.25</v>
      </c>
      <c r="C9" s="30">
        <v>-5.8655643</v>
      </c>
      <c r="D9" s="30">
        <f t="shared" ref="D9:D19" si="1">F8/F9</f>
        <v>-46.069440202780264</v>
      </c>
      <c r="E9" s="30">
        <f t="shared" ref="E9:E19" si="2">(C10-C8)/(C10-C9)</f>
        <v>-48.440214669838255</v>
      </c>
      <c r="F9" s="30">
        <f t="shared" ref="F9:F19" si="3">$M$3-C9</f>
        <v>0.15291429999999995</v>
      </c>
      <c r="G9" s="30">
        <f t="shared" ref="G9:G19" si="4">(C9-C8)/15</f>
        <v>-0.47983936666666671</v>
      </c>
      <c r="H9" s="30">
        <f t="shared" ref="H9:H19" si="5">C9+G9</f>
        <v>-6.3454036666666669</v>
      </c>
      <c r="I9" s="31">
        <f t="shared" ref="I9:I19" si="6">$M$3-H9</f>
        <v>0.63275366666666688</v>
      </c>
      <c r="J9" s="37"/>
      <c r="K9" s="37"/>
      <c r="L9" s="37"/>
      <c r="M9" s="37"/>
      <c r="N9" s="37"/>
      <c r="O9" s="37"/>
    </row>
    <row r="10" spans="1:15" x14ac:dyDescent="0.25">
      <c r="A10" s="29">
        <f t="shared" si="0"/>
        <v>8</v>
      </c>
      <c r="B10" s="30">
        <v>1.625</v>
      </c>
      <c r="C10" s="30">
        <v>-5.7199825999999998</v>
      </c>
      <c r="D10" s="30">
        <f t="shared" si="1"/>
        <v>20.854035403540916</v>
      </c>
      <c r="E10" s="30">
        <f t="shared" si="2"/>
        <v>22.10216121410819</v>
      </c>
      <c r="F10" s="30">
        <f t="shared" si="3"/>
        <v>7.3325999999998004E-3</v>
      </c>
      <c r="G10" s="30">
        <f t="shared" si="4"/>
        <v>9.7054466666666762E-3</v>
      </c>
      <c r="H10" s="30">
        <f t="shared" si="5"/>
        <v>-5.7102771533333332</v>
      </c>
      <c r="I10" s="31">
        <f t="shared" si="6"/>
        <v>-2.3728466666668169E-3</v>
      </c>
      <c r="J10" s="37"/>
      <c r="K10" s="37"/>
      <c r="L10" s="37"/>
      <c r="M10" s="37"/>
      <c r="N10" s="37"/>
      <c r="O10" s="37"/>
    </row>
    <row r="11" spans="1:15" x14ac:dyDescent="0.25">
      <c r="A11" s="29">
        <f t="shared" si="0"/>
        <v>16</v>
      </c>
      <c r="B11" s="30">
        <v>0.8125</v>
      </c>
      <c r="C11" s="30">
        <v>-5.7130837000000003</v>
      </c>
      <c r="D11" s="30">
        <f t="shared" si="1"/>
        <v>16.907078625765472</v>
      </c>
      <c r="E11" s="30">
        <f t="shared" si="2"/>
        <v>17.963117777226227</v>
      </c>
      <c r="F11" s="30">
        <f t="shared" si="3"/>
        <v>4.3370000000031439E-4</v>
      </c>
      <c r="G11" s="30">
        <f t="shared" si="4"/>
        <v>4.5992666666663242E-4</v>
      </c>
      <c r="H11" s="30">
        <f t="shared" si="5"/>
        <v>-5.712623773333334</v>
      </c>
      <c r="I11" s="31">
        <f t="shared" si="6"/>
        <v>-2.6226666665962739E-5</v>
      </c>
      <c r="J11" s="37"/>
      <c r="K11" s="37"/>
      <c r="L11" s="37"/>
      <c r="M11" s="37"/>
      <c r="N11" s="37"/>
      <c r="O11" s="37"/>
    </row>
    <row r="12" spans="1:15" x14ac:dyDescent="0.25">
      <c r="A12" s="29">
        <f t="shared" si="0"/>
        <v>32</v>
      </c>
      <c r="B12" s="30">
        <v>0.40625</v>
      </c>
      <c r="C12" s="30">
        <v>-5.7126770000000002</v>
      </c>
      <c r="D12" s="30">
        <f t="shared" si="1"/>
        <v>16.062962962842956</v>
      </c>
      <c r="E12" s="30">
        <f t="shared" si="2"/>
        <v>16.824902723659971</v>
      </c>
      <c r="F12" s="30">
        <f t="shared" si="3"/>
        <v>2.7000000000221291E-5</v>
      </c>
      <c r="G12" s="30">
        <f t="shared" si="4"/>
        <v>2.7113333333339541E-5</v>
      </c>
      <c r="H12" s="30">
        <f t="shared" si="5"/>
        <v>-5.7126498866666671</v>
      </c>
      <c r="I12" s="31">
        <f t="shared" si="6"/>
        <v>-1.1333333294061276E-7</v>
      </c>
      <c r="J12" s="37"/>
      <c r="K12" s="37"/>
      <c r="L12" s="37"/>
      <c r="M12" s="37"/>
      <c r="N12" s="37"/>
      <c r="O12" s="37"/>
    </row>
    <row r="13" spans="1:15" x14ac:dyDescent="0.25">
      <c r="A13" s="29">
        <f t="shared" si="0"/>
        <v>64</v>
      </c>
      <c r="B13" s="30">
        <v>0.203125</v>
      </c>
      <c r="C13" s="30">
        <v>-5.7126513000000001</v>
      </c>
      <c r="D13" s="30">
        <f t="shared" si="1"/>
        <v>20.769230767916895</v>
      </c>
      <c r="E13" s="30">
        <f t="shared" si="2"/>
        <v>9.8620689651370466</v>
      </c>
      <c r="F13" s="30">
        <f t="shared" si="3"/>
        <v>1.3000000000928935E-6</v>
      </c>
      <c r="G13" s="30">
        <f t="shared" si="4"/>
        <v>1.7133333333418933E-6</v>
      </c>
      <c r="H13" s="30">
        <f t="shared" si="5"/>
        <v>-5.7126495866666671</v>
      </c>
      <c r="I13" s="31">
        <f t="shared" si="6"/>
        <v>-4.1333333289372831E-7</v>
      </c>
      <c r="J13" s="37"/>
      <c r="K13" s="37"/>
      <c r="L13" s="37"/>
      <c r="M13" s="37"/>
      <c r="N13" s="37"/>
      <c r="O13" s="37"/>
    </row>
    <row r="14" spans="1:15" x14ac:dyDescent="0.25">
      <c r="A14" s="29">
        <f t="shared" si="0"/>
        <v>128</v>
      </c>
      <c r="B14" s="30">
        <v>0.1015625</v>
      </c>
      <c r="C14" s="30">
        <v>-5.7126484</v>
      </c>
      <c r="D14" s="30">
        <f t="shared" si="1"/>
        <v>-0.81250000003469447</v>
      </c>
      <c r="E14" s="30">
        <f t="shared" si="2"/>
        <v>-0.20833333358004957</v>
      </c>
      <c r="F14" s="30">
        <f t="shared" si="3"/>
        <v>-1.6000000000460091E-6</v>
      </c>
      <c r="G14" s="30">
        <f t="shared" si="4"/>
        <v>1.9333333334259351E-7</v>
      </c>
      <c r="H14" s="30">
        <f t="shared" si="5"/>
        <v>-5.7126482066666666</v>
      </c>
      <c r="I14" s="31">
        <f t="shared" si="6"/>
        <v>-1.7933333333886026E-6</v>
      </c>
      <c r="J14" s="37"/>
      <c r="K14" s="37"/>
      <c r="L14" s="37"/>
      <c r="M14" s="37"/>
      <c r="N14" s="37"/>
      <c r="O14" s="37"/>
    </row>
    <row r="15" spans="1:15" x14ac:dyDescent="0.25">
      <c r="A15" s="29">
        <f t="shared" si="0"/>
        <v>256</v>
      </c>
      <c r="B15" s="30">
        <v>5.078125E-2</v>
      </c>
      <c r="C15" s="30">
        <v>-5.7126507999999996</v>
      </c>
      <c r="D15" s="30">
        <f t="shared" si="1"/>
        <v>-2.000000001110223</v>
      </c>
      <c r="E15" s="30">
        <f t="shared" si="2"/>
        <v>5.7999999943156579</v>
      </c>
      <c r="F15" s="30">
        <f t="shared" si="3"/>
        <v>7.9999999957891532E-7</v>
      </c>
      <c r="G15" s="30">
        <f t="shared" si="4"/>
        <v>-1.5999999997499496E-7</v>
      </c>
      <c r="H15" s="30">
        <f t="shared" si="5"/>
        <v>-5.7126509599999995</v>
      </c>
      <c r="I15" s="31">
        <f t="shared" si="6"/>
        <v>9.5999999949469839E-7</v>
      </c>
      <c r="J15" s="37"/>
      <c r="K15" s="37"/>
      <c r="L15" s="37"/>
      <c r="M15" s="37"/>
      <c r="N15" s="37"/>
      <c r="O15" s="37"/>
    </row>
    <row r="16" spans="1:15" x14ac:dyDescent="0.25">
      <c r="A16" s="29">
        <f t="shared" si="0"/>
        <v>512</v>
      </c>
      <c r="B16" s="30">
        <v>2.5390630000000001E-2</v>
      </c>
      <c r="C16" s="30">
        <v>-5.7126513000000001</v>
      </c>
      <c r="D16" s="30">
        <f t="shared" si="1"/>
        <v>0.61538461501673081</v>
      </c>
      <c r="E16" s="30">
        <f t="shared" si="2"/>
        <v>0.8837209301268798</v>
      </c>
      <c r="F16" s="30">
        <f t="shared" si="3"/>
        <v>1.3000000000928935E-6</v>
      </c>
      <c r="G16" s="30">
        <f t="shared" si="4"/>
        <v>-3.3333333367598543E-8</v>
      </c>
      <c r="H16" s="30">
        <f t="shared" si="5"/>
        <v>-5.7126513333333335</v>
      </c>
      <c r="I16" s="31">
        <f t="shared" si="6"/>
        <v>1.333333333519704E-6</v>
      </c>
      <c r="J16" s="37"/>
      <c r="K16" s="37"/>
      <c r="L16" s="37"/>
      <c r="M16" s="37"/>
      <c r="N16" s="37"/>
      <c r="O16" s="37"/>
    </row>
    <row r="17" spans="1:15" x14ac:dyDescent="0.25">
      <c r="A17" s="29">
        <f t="shared" si="0"/>
        <v>1024</v>
      </c>
      <c r="B17" s="30">
        <v>1.269531E-2</v>
      </c>
      <c r="C17" s="30">
        <v>-5.7126469999999996</v>
      </c>
      <c r="D17" s="30">
        <f t="shared" si="1"/>
        <v>-0.43333333330372736</v>
      </c>
      <c r="E17" s="30">
        <f t="shared" si="2"/>
        <v>-9.7499999950039964</v>
      </c>
      <c r="F17" s="30">
        <f t="shared" si="3"/>
        <v>-3.0000000004193339E-6</v>
      </c>
      <c r="G17" s="30">
        <f t="shared" si="4"/>
        <v>2.8666666670081514E-7</v>
      </c>
      <c r="H17" s="30">
        <f t="shared" si="5"/>
        <v>-5.7126467133333332</v>
      </c>
      <c r="I17" s="31">
        <f t="shared" si="6"/>
        <v>-3.2866666668240896E-6</v>
      </c>
      <c r="J17" s="37"/>
      <c r="K17" s="37"/>
      <c r="L17" s="37"/>
      <c r="M17" s="37"/>
      <c r="N17" s="37"/>
      <c r="O17" s="37"/>
    </row>
    <row r="18" spans="1:15" x14ac:dyDescent="0.25">
      <c r="A18" s="29">
        <f t="shared" si="0"/>
        <v>2048</v>
      </c>
      <c r="B18" s="30">
        <v>6.3476599999999998E-3</v>
      </c>
      <c r="C18" s="30">
        <v>-5.7126473999999998</v>
      </c>
      <c r="D18" s="30">
        <f t="shared" si="1"/>
        <v>1.1538461539249862</v>
      </c>
      <c r="E18" s="30">
        <f t="shared" si="2"/>
        <v>0.93939393935723781</v>
      </c>
      <c r="F18" s="30">
        <f t="shared" si="3"/>
        <v>-2.600000000185787E-6</v>
      </c>
      <c r="G18" s="30">
        <f t="shared" si="4"/>
        <v>-2.666666668223646E-8</v>
      </c>
      <c r="H18" s="30">
        <f t="shared" si="5"/>
        <v>-5.7126474266666669</v>
      </c>
      <c r="I18" s="31">
        <f t="shared" si="6"/>
        <v>-2.5733333330890673E-6</v>
      </c>
      <c r="J18" s="37"/>
      <c r="K18" s="37"/>
      <c r="L18" s="37"/>
      <c r="M18" s="37"/>
      <c r="N18" s="37"/>
      <c r="O18" s="37"/>
    </row>
    <row r="19" spans="1:15" ht="15.75" thickBot="1" x14ac:dyDescent="0.3">
      <c r="A19" s="32">
        <f t="shared" si="0"/>
        <v>4096</v>
      </c>
      <c r="B19" s="33">
        <v>3.1738299999999999E-3</v>
      </c>
      <c r="C19" s="33">
        <v>-5.7126408</v>
      </c>
      <c r="D19" s="33">
        <f t="shared" si="1"/>
        <v>0.28260869567106239</v>
      </c>
      <c r="E19" s="33">
        <f t="shared" si="2"/>
        <v>1.0000011553325741</v>
      </c>
      <c r="F19" s="33">
        <f t="shared" si="3"/>
        <v>-9.2000000000425075E-6</v>
      </c>
      <c r="G19" s="33">
        <f t="shared" si="4"/>
        <v>4.3999999999044803E-7</v>
      </c>
      <c r="H19" s="33">
        <f t="shared" si="5"/>
        <v>-5.71264036</v>
      </c>
      <c r="I19" s="34">
        <f t="shared" si="6"/>
        <v>-9.6400000000329555E-6</v>
      </c>
      <c r="J19" s="37"/>
      <c r="K19" s="37"/>
      <c r="L19" s="37"/>
      <c r="M19" s="37"/>
      <c r="N19" s="37"/>
      <c r="O19" s="37"/>
    </row>
    <row r="20" spans="1:15" x14ac:dyDescent="0.25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7"/>
      <c r="O20" s="37"/>
    </row>
    <row r="21" spans="1:15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7"/>
      <c r="K21" s="37"/>
      <c r="L21" s="37"/>
      <c r="M21" s="37"/>
      <c r="N21" s="37"/>
      <c r="O21" s="37"/>
    </row>
    <row r="22" spans="1:15" ht="15.75" thickBo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7"/>
      <c r="K22" s="37"/>
      <c r="L22" s="37"/>
      <c r="M22" s="37"/>
      <c r="N22" s="37"/>
      <c r="O22" s="37"/>
    </row>
    <row r="23" spans="1:15" x14ac:dyDescent="0.25">
      <c r="A23" s="68" t="s">
        <v>46</v>
      </c>
      <c r="B23" s="69"/>
      <c r="C23" s="69"/>
      <c r="D23" s="69"/>
      <c r="E23" s="69"/>
      <c r="F23" s="69"/>
      <c r="G23" s="69"/>
      <c r="H23" s="69"/>
      <c r="I23" s="70"/>
      <c r="J23" s="37"/>
      <c r="K23" s="37"/>
      <c r="L23" s="37"/>
      <c r="M23" s="37"/>
      <c r="N23" s="37"/>
      <c r="O23" s="37"/>
    </row>
    <row r="24" spans="1:15" x14ac:dyDescent="0.25">
      <c r="A24" s="71" t="s">
        <v>41</v>
      </c>
      <c r="B24" s="72"/>
      <c r="C24" s="72"/>
      <c r="D24" s="72"/>
      <c r="E24" s="72"/>
      <c r="F24" s="72"/>
      <c r="G24" s="72"/>
      <c r="H24" s="72"/>
      <c r="I24" s="73"/>
      <c r="J24" s="37"/>
      <c r="K24" s="37"/>
      <c r="L24" s="37"/>
      <c r="M24" s="37"/>
      <c r="N24" s="37"/>
      <c r="O24" s="37"/>
    </row>
    <row r="25" spans="1:15" x14ac:dyDescent="0.25">
      <c r="A25" s="71" t="s">
        <v>44</v>
      </c>
      <c r="B25" s="72"/>
      <c r="C25" s="72"/>
      <c r="D25" s="72"/>
      <c r="E25" s="72"/>
      <c r="F25" s="72"/>
      <c r="G25" s="72"/>
      <c r="H25" s="72"/>
      <c r="I25" s="73"/>
      <c r="J25" s="37"/>
      <c r="K25" s="37"/>
      <c r="L25" s="37"/>
      <c r="M25" s="37"/>
      <c r="N25" s="37"/>
      <c r="O25" s="37"/>
    </row>
    <row r="26" spans="1:15" x14ac:dyDescent="0.25">
      <c r="A26" s="71" t="s">
        <v>47</v>
      </c>
      <c r="B26" s="72"/>
      <c r="C26" s="72"/>
      <c r="D26" s="72"/>
      <c r="E26" s="72"/>
      <c r="F26" s="72"/>
      <c r="G26" s="72"/>
      <c r="H26" s="72"/>
      <c r="I26" s="73"/>
      <c r="J26" s="37"/>
      <c r="K26" s="37"/>
      <c r="L26" s="37"/>
      <c r="M26" s="37"/>
      <c r="N26" s="37"/>
      <c r="O26" s="37"/>
    </row>
    <row r="27" spans="1:15" ht="124.5" customHeight="1" x14ac:dyDescent="0.25">
      <c r="A27" s="14" t="s">
        <v>3</v>
      </c>
      <c r="B27" s="13" t="s">
        <v>31</v>
      </c>
      <c r="C27" s="13" t="s">
        <v>4</v>
      </c>
      <c r="D27" s="13" t="s">
        <v>11</v>
      </c>
      <c r="E27" s="13" t="s">
        <v>32</v>
      </c>
      <c r="F27" s="13" t="s">
        <v>5</v>
      </c>
      <c r="G27" s="13" t="s">
        <v>6</v>
      </c>
      <c r="H27" s="13" t="s">
        <v>7</v>
      </c>
      <c r="I27" s="15" t="s">
        <v>8</v>
      </c>
      <c r="J27" s="37"/>
      <c r="K27" s="37"/>
      <c r="L27" s="37"/>
      <c r="M27" s="37"/>
      <c r="N27" s="37"/>
      <c r="O27" s="37"/>
    </row>
    <row r="28" spans="1:15" x14ac:dyDescent="0.25">
      <c r="A28" s="16" t="s">
        <v>9</v>
      </c>
      <c r="B28" s="5" t="s">
        <v>33</v>
      </c>
      <c r="C28" s="5" t="s">
        <v>20</v>
      </c>
      <c r="D28" s="5" t="s">
        <v>21</v>
      </c>
      <c r="E28" s="5" t="s">
        <v>34</v>
      </c>
      <c r="F28" s="12" t="s">
        <v>22</v>
      </c>
      <c r="G28" s="23" t="s">
        <v>52</v>
      </c>
      <c r="H28" s="12" t="s">
        <v>23</v>
      </c>
      <c r="I28" s="6" t="s">
        <v>24</v>
      </c>
      <c r="J28" s="37"/>
      <c r="K28" s="37"/>
      <c r="L28" s="37"/>
      <c r="M28" s="37"/>
      <c r="N28" s="37"/>
      <c r="O28" s="37"/>
    </row>
    <row r="29" spans="1:15" x14ac:dyDescent="0.25">
      <c r="A29" s="29">
        <v>1</v>
      </c>
      <c r="B29" s="30">
        <v>8</v>
      </c>
      <c r="C29" s="30">
        <v>71512.726999999999</v>
      </c>
      <c r="D29" s="19" t="s">
        <v>30</v>
      </c>
      <c r="E29" s="19" t="s">
        <v>30</v>
      </c>
      <c r="F29" s="30">
        <f t="shared" ref="F29:F41" si="7">$M$2-C29</f>
        <v>-27846.060333333298</v>
      </c>
      <c r="G29" s="19" t="s">
        <v>30</v>
      </c>
      <c r="H29" s="19" t="s">
        <v>30</v>
      </c>
      <c r="I29" s="20" t="s">
        <v>30</v>
      </c>
      <c r="J29" s="37"/>
      <c r="K29" s="37"/>
      <c r="L29" s="37"/>
      <c r="M29" s="37"/>
      <c r="N29" s="37"/>
      <c r="O29" s="37"/>
    </row>
    <row r="30" spans="1:15" x14ac:dyDescent="0.25">
      <c r="A30" s="29">
        <f t="shared" ref="A30:A41" si="8">A29*2</f>
        <v>2</v>
      </c>
      <c r="B30" s="30">
        <v>4</v>
      </c>
      <c r="C30" s="30">
        <v>47429.762000000002</v>
      </c>
      <c r="D30" s="30">
        <f t="shared" ref="D30:D41" si="9">F29/F30</f>
        <v>7.3997754153806179</v>
      </c>
      <c r="E30" s="30">
        <f t="shared" ref="E30:E40" si="10">(C31-C29)/(C31-C30)</f>
        <v>7.8881426699650063</v>
      </c>
      <c r="F30" s="30">
        <f t="shared" si="7"/>
        <v>-3763.0953333333018</v>
      </c>
      <c r="G30" s="30">
        <f>(C30-C29)/15</f>
        <v>-1605.5309999999997</v>
      </c>
      <c r="H30" s="30">
        <f t="shared" ref="H30:H41" si="11">C30+G30</f>
        <v>45824.231</v>
      </c>
      <c r="I30" s="31">
        <f t="shared" ref="I30:I41" si="12">$M$2-H30</f>
        <v>-2157.5643333332991</v>
      </c>
      <c r="J30" s="37"/>
      <c r="K30" s="37"/>
      <c r="L30" s="37"/>
      <c r="M30" s="37"/>
      <c r="N30" s="37"/>
      <c r="O30" s="37"/>
    </row>
    <row r="31" spans="1:15" x14ac:dyDescent="0.25">
      <c r="A31" s="29">
        <f t="shared" si="8"/>
        <v>4</v>
      </c>
      <c r="B31" s="30">
        <v>2</v>
      </c>
      <c r="C31" s="30">
        <v>43933.468999999997</v>
      </c>
      <c r="D31" s="30">
        <f t="shared" si="9"/>
        <v>14.10443187028781</v>
      </c>
      <c r="E31" s="30">
        <f t="shared" si="10"/>
        <v>15.005507997612826</v>
      </c>
      <c r="F31" s="30">
        <f t="shared" si="7"/>
        <v>-266.8023333332967</v>
      </c>
      <c r="G31" s="30">
        <f t="shared" ref="G31:G41" si="13">(C31-C30)/15</f>
        <v>-233.08620000000033</v>
      </c>
      <c r="H31" s="30">
        <f t="shared" si="11"/>
        <v>43700.382799999999</v>
      </c>
      <c r="I31" s="31">
        <f t="shared" si="12"/>
        <v>-33.716133333298785</v>
      </c>
      <c r="J31" s="37"/>
      <c r="K31" s="37"/>
      <c r="L31" s="37"/>
      <c r="M31" s="37"/>
      <c r="N31" s="37"/>
      <c r="O31" s="37"/>
    </row>
    <row r="32" spans="1:15" x14ac:dyDescent="0.25">
      <c r="A32" s="29">
        <f t="shared" si="8"/>
        <v>8</v>
      </c>
      <c r="B32" s="30">
        <v>1</v>
      </c>
      <c r="C32" s="30">
        <v>43683.832000000002</v>
      </c>
      <c r="D32" s="30">
        <f t="shared" si="9"/>
        <v>15.543090725519903</v>
      </c>
      <c r="E32" s="30">
        <f t="shared" si="10"/>
        <v>16.522758363385257</v>
      </c>
      <c r="F32" s="30">
        <f t="shared" si="7"/>
        <v>-17.165333333301533</v>
      </c>
      <c r="G32" s="30">
        <f t="shared" si="13"/>
        <v>-16.642466666666344</v>
      </c>
      <c r="H32" s="30">
        <f t="shared" si="11"/>
        <v>43667.189533333338</v>
      </c>
      <c r="I32" s="31">
        <f t="shared" si="12"/>
        <v>-0.52286666663712822</v>
      </c>
      <c r="J32" s="37"/>
      <c r="K32" s="37"/>
      <c r="L32" s="37"/>
      <c r="M32" s="37"/>
      <c r="N32" s="37"/>
      <c r="O32" s="37"/>
    </row>
    <row r="33" spans="1:15" x14ac:dyDescent="0.25">
      <c r="A33" s="29">
        <f t="shared" si="8"/>
        <v>16</v>
      </c>
      <c r="B33" s="30">
        <v>0.5</v>
      </c>
      <c r="C33" s="30">
        <v>43667.75</v>
      </c>
      <c r="D33" s="30">
        <f t="shared" si="9"/>
        <v>15.844923077390343</v>
      </c>
      <c r="E33" s="30">
        <f t="shared" si="10"/>
        <v>16.82874015743165</v>
      </c>
      <c r="F33" s="30">
        <f t="shared" si="7"/>
        <v>-1.0833333332993789</v>
      </c>
      <c r="G33" s="30">
        <f t="shared" si="13"/>
        <v>-1.0721333333334768</v>
      </c>
      <c r="H33" s="30">
        <f t="shared" si="11"/>
        <v>43666.677866666665</v>
      </c>
      <c r="I33" s="31">
        <f t="shared" si="12"/>
        <v>-1.1199999964446761E-2</v>
      </c>
      <c r="J33" s="37"/>
      <c r="K33" s="37"/>
      <c r="L33" s="37"/>
      <c r="M33" s="37"/>
      <c r="N33" s="37"/>
      <c r="O33" s="37"/>
    </row>
    <row r="34" spans="1:15" x14ac:dyDescent="0.25">
      <c r="A34" s="29">
        <f t="shared" si="8"/>
        <v>32</v>
      </c>
      <c r="B34" s="30">
        <v>0.25</v>
      </c>
      <c r="C34" s="30">
        <v>43666.733999999997</v>
      </c>
      <c r="D34" s="30">
        <f t="shared" si="9"/>
        <v>16.089108919279017</v>
      </c>
      <c r="E34" s="30">
        <f t="shared" si="10"/>
        <v>17.387096774753818</v>
      </c>
      <c r="F34" s="30">
        <f t="shared" si="7"/>
        <v>-6.7333333296119235E-2</v>
      </c>
      <c r="G34" s="30">
        <f t="shared" si="13"/>
        <v>-6.7733333333550638E-2</v>
      </c>
      <c r="H34" s="30">
        <f t="shared" si="11"/>
        <v>43666.66626666666</v>
      </c>
      <c r="I34" s="31">
        <f t="shared" si="12"/>
        <v>4.0000004082685336E-4</v>
      </c>
      <c r="J34" s="37"/>
      <c r="K34" s="37"/>
      <c r="L34" s="37"/>
      <c r="M34" s="37"/>
      <c r="N34" s="37"/>
      <c r="O34" s="37"/>
    </row>
    <row r="35" spans="1:15" x14ac:dyDescent="0.25">
      <c r="A35" s="29">
        <f t="shared" si="8"/>
        <v>64</v>
      </c>
      <c r="B35" s="30">
        <v>0.125</v>
      </c>
      <c r="C35" s="30">
        <v>43666.671999999999</v>
      </c>
      <c r="D35" s="30">
        <f t="shared" si="9"/>
        <v>12.625000076568085</v>
      </c>
      <c r="E35" s="30">
        <f t="shared" si="10"/>
        <v>8.7499999981810106</v>
      </c>
      <c r="F35" s="30">
        <f t="shared" si="7"/>
        <v>-5.3333332980400883E-3</v>
      </c>
      <c r="G35" s="30">
        <f t="shared" si="13"/>
        <v>-4.1333333332052762E-3</v>
      </c>
      <c r="H35" s="30">
        <f t="shared" si="11"/>
        <v>43666.667866666663</v>
      </c>
      <c r="I35" s="31">
        <f t="shared" si="12"/>
        <v>-1.1999999624094926E-3</v>
      </c>
      <c r="J35" s="37"/>
      <c r="K35" s="37"/>
      <c r="L35" s="37"/>
      <c r="M35" s="37"/>
      <c r="N35" s="37"/>
      <c r="O35" s="37"/>
    </row>
    <row r="36" spans="1:15" x14ac:dyDescent="0.25">
      <c r="A36" s="29">
        <f t="shared" si="8"/>
        <v>128</v>
      </c>
      <c r="B36" s="30">
        <v>6.25E-2</v>
      </c>
      <c r="C36" s="30">
        <v>43666.663999999997</v>
      </c>
      <c r="D36" s="30">
        <f t="shared" si="9"/>
        <v>-1.9999999590727391</v>
      </c>
      <c r="E36" s="30" t="e">
        <f t="shared" si="10"/>
        <v>#DIV/0!</v>
      </c>
      <c r="F36" s="30">
        <f t="shared" si="7"/>
        <v>2.6666667035897262E-3</v>
      </c>
      <c r="G36" s="30">
        <f t="shared" si="13"/>
        <v>-5.3333333344198766E-4</v>
      </c>
      <c r="H36" s="30">
        <f t="shared" si="11"/>
        <v>43666.663466666665</v>
      </c>
      <c r="I36" s="31">
        <f t="shared" si="12"/>
        <v>3.2000000355765224E-3</v>
      </c>
      <c r="J36" s="37"/>
      <c r="K36" s="37"/>
      <c r="L36" s="37"/>
      <c r="M36" s="37"/>
      <c r="N36" s="37"/>
      <c r="O36" s="37"/>
    </row>
    <row r="37" spans="1:15" x14ac:dyDescent="0.25">
      <c r="A37" s="29">
        <f t="shared" si="8"/>
        <v>256</v>
      </c>
      <c r="B37" s="30">
        <v>3.125E-2</v>
      </c>
      <c r="C37" s="30">
        <v>43666.663999999997</v>
      </c>
      <c r="D37" s="30">
        <f t="shared" si="9"/>
        <v>1</v>
      </c>
      <c r="E37" s="30" t="e">
        <f t="shared" si="10"/>
        <v>#DIV/0!</v>
      </c>
      <c r="F37" s="30">
        <f t="shared" si="7"/>
        <v>2.6666667035897262E-3</v>
      </c>
      <c r="G37" s="30">
        <f t="shared" si="13"/>
        <v>0</v>
      </c>
      <c r="H37" s="30">
        <f t="shared" si="11"/>
        <v>43666.663999999997</v>
      </c>
      <c r="I37" s="31">
        <f t="shared" si="12"/>
        <v>2.6666667035897262E-3</v>
      </c>
      <c r="J37" s="37"/>
      <c r="K37" s="37"/>
      <c r="L37" s="37"/>
      <c r="M37" s="37"/>
      <c r="N37" s="37"/>
      <c r="O37" s="37"/>
    </row>
    <row r="38" spans="1:15" x14ac:dyDescent="0.25">
      <c r="A38" s="29">
        <f t="shared" si="8"/>
        <v>512</v>
      </c>
      <c r="B38" s="30">
        <v>1.5625E-2</v>
      </c>
      <c r="C38" s="30">
        <v>43666.663999999997</v>
      </c>
      <c r="D38" s="30">
        <f t="shared" si="9"/>
        <v>1</v>
      </c>
      <c r="E38" s="30" t="e">
        <f t="shared" si="10"/>
        <v>#DIV/0!</v>
      </c>
      <c r="F38" s="30">
        <f t="shared" si="7"/>
        <v>2.6666667035897262E-3</v>
      </c>
      <c r="G38" s="30">
        <f t="shared" si="13"/>
        <v>0</v>
      </c>
      <c r="H38" s="30">
        <f t="shared" si="11"/>
        <v>43666.663999999997</v>
      </c>
      <c r="I38" s="31">
        <f t="shared" si="12"/>
        <v>2.6666667035897262E-3</v>
      </c>
      <c r="J38" s="37"/>
      <c r="K38" s="37"/>
      <c r="L38" s="37"/>
      <c r="M38" s="37"/>
      <c r="N38" s="37"/>
      <c r="O38" s="37"/>
    </row>
    <row r="39" spans="1:15" x14ac:dyDescent="0.25">
      <c r="A39" s="29">
        <f t="shared" si="8"/>
        <v>1024</v>
      </c>
      <c r="B39" s="30">
        <v>7.8125E-3</v>
      </c>
      <c r="C39" s="30">
        <v>43666.663999999997</v>
      </c>
      <c r="D39" s="30">
        <f t="shared" si="9"/>
        <v>1</v>
      </c>
      <c r="E39" s="30">
        <f t="shared" si="10"/>
        <v>1</v>
      </c>
      <c r="F39" s="30">
        <f t="shared" si="7"/>
        <v>2.6666667035897262E-3</v>
      </c>
      <c r="G39" s="30">
        <f t="shared" si="13"/>
        <v>0</v>
      </c>
      <c r="H39" s="30">
        <f t="shared" si="11"/>
        <v>43666.663999999997</v>
      </c>
      <c r="I39" s="31">
        <f t="shared" si="12"/>
        <v>2.6666667035897262E-3</v>
      </c>
      <c r="J39" s="37"/>
      <c r="K39" s="37"/>
      <c r="L39" s="37"/>
      <c r="M39" s="37"/>
      <c r="N39" s="37"/>
      <c r="O39" s="37"/>
    </row>
    <row r="40" spans="1:15" x14ac:dyDescent="0.25">
      <c r="A40" s="29">
        <f t="shared" si="8"/>
        <v>2048</v>
      </c>
      <c r="B40" s="30">
        <v>3.90625E-3</v>
      </c>
      <c r="C40" s="30">
        <v>43666.68</v>
      </c>
      <c r="D40" s="30">
        <f t="shared" si="9"/>
        <v>-0.20000000327418094</v>
      </c>
      <c r="E40" s="30">
        <f t="shared" si="10"/>
        <v>-0.33333333333333331</v>
      </c>
      <c r="F40" s="30">
        <f t="shared" si="7"/>
        <v>-1.3333333299669903E-2</v>
      </c>
      <c r="G40" s="30">
        <f t="shared" si="13"/>
        <v>1.0666666668839753E-3</v>
      </c>
      <c r="H40" s="30">
        <f t="shared" si="11"/>
        <v>43666.681066666664</v>
      </c>
      <c r="I40" s="31">
        <f t="shared" si="12"/>
        <v>-1.4399999963643495E-2</v>
      </c>
      <c r="J40" s="37"/>
      <c r="K40" s="37"/>
      <c r="L40" s="37"/>
      <c r="M40" s="37"/>
      <c r="N40" s="37"/>
      <c r="O40" s="37"/>
    </row>
    <row r="41" spans="1:15" ht="15.75" thickBot="1" x14ac:dyDescent="0.3">
      <c r="A41" s="32">
        <f t="shared" si="8"/>
        <v>4096</v>
      </c>
      <c r="B41" s="33">
        <v>1.95313E-3</v>
      </c>
      <c r="C41" s="33">
        <v>43666.667999999998</v>
      </c>
      <c r="D41" s="33">
        <f t="shared" si="9"/>
        <v>10.000000245563577</v>
      </c>
      <c r="E41" s="33">
        <f>(C53-C40)/(C53-C41)</f>
        <v>1.0000002748091519</v>
      </c>
      <c r="F41" s="33">
        <f t="shared" si="7"/>
        <v>-1.333333297225181E-3</v>
      </c>
      <c r="G41" s="33">
        <f t="shared" si="13"/>
        <v>-8.0000000016298143E-4</v>
      </c>
      <c r="H41" s="33">
        <f t="shared" si="11"/>
        <v>43666.667199999996</v>
      </c>
      <c r="I41" s="34">
        <f t="shared" si="12"/>
        <v>-5.3333329560700804E-4</v>
      </c>
      <c r="J41" s="37"/>
      <c r="K41" s="37"/>
      <c r="L41" s="37"/>
      <c r="M41" s="37"/>
      <c r="N41" s="37"/>
      <c r="O41" s="37"/>
    </row>
    <row r="42" spans="1:15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3" spans="1:15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1:15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</row>
    <row r="45" spans="1:15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spans="1:15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</row>
    <row r="47" spans="1:15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</row>
    <row r="48" spans="1:15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</row>
    <row r="49" spans="1:15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</row>
    <row r="53" spans="1:15" x14ac:dyDescent="0.25">
      <c r="A53" s="8"/>
      <c r="B53" s="27"/>
      <c r="C53" s="27"/>
      <c r="D53" s="27"/>
      <c r="E53" s="27"/>
      <c r="F53" s="27"/>
      <c r="G53" s="27"/>
      <c r="H53" s="27"/>
      <c r="I53" s="27"/>
    </row>
    <row r="54" spans="1:15" x14ac:dyDescent="0.25">
      <c r="A54" s="8"/>
      <c r="B54" s="27"/>
      <c r="C54" s="27"/>
      <c r="D54" s="27"/>
      <c r="E54" s="27"/>
      <c r="F54" s="27"/>
      <c r="G54" s="27"/>
      <c r="H54" s="27"/>
      <c r="I54" s="27"/>
    </row>
    <row r="55" spans="1:15" x14ac:dyDescent="0.25">
      <c r="A55" s="8"/>
      <c r="B55" s="27"/>
      <c r="C55" s="27"/>
      <c r="D55" s="27"/>
      <c r="E55" s="27"/>
      <c r="F55" s="27"/>
      <c r="G55" s="27"/>
      <c r="H55" s="27"/>
      <c r="I55" s="27"/>
    </row>
    <row r="56" spans="1:15" x14ac:dyDescent="0.25">
      <c r="A56" s="8"/>
      <c r="B56" s="27"/>
      <c r="C56" s="27"/>
      <c r="D56" s="27"/>
      <c r="E56" s="27"/>
      <c r="F56" s="27"/>
      <c r="G56" s="27"/>
      <c r="H56" s="27"/>
      <c r="I56" s="27"/>
    </row>
    <row r="57" spans="1:15" x14ac:dyDescent="0.25">
      <c r="A57" s="8"/>
      <c r="B57" s="27"/>
      <c r="C57" s="27"/>
      <c r="D57" s="27"/>
      <c r="E57" s="27"/>
      <c r="F57" s="27"/>
      <c r="G57" s="27"/>
      <c r="H57" s="27"/>
      <c r="I57" s="27"/>
    </row>
    <row r="58" spans="1:15" x14ac:dyDescent="0.25">
      <c r="A58" s="8"/>
      <c r="B58" s="27"/>
      <c r="C58" s="27"/>
      <c r="D58" s="27"/>
      <c r="E58" s="27"/>
      <c r="F58" s="27"/>
      <c r="G58" s="27"/>
      <c r="H58" s="27"/>
      <c r="I58" s="27"/>
    </row>
    <row r="59" spans="1:15" x14ac:dyDescent="0.25">
      <c r="A59" s="8"/>
      <c r="B59" s="27"/>
      <c r="C59" s="27"/>
      <c r="D59" s="27"/>
      <c r="E59" s="27"/>
      <c r="F59" s="27"/>
      <c r="G59" s="27"/>
      <c r="H59" s="27"/>
      <c r="I59" s="27"/>
    </row>
    <row r="60" spans="1:15" x14ac:dyDescent="0.25">
      <c r="A60" s="8"/>
      <c r="B60" s="27"/>
      <c r="C60" s="27"/>
      <c r="D60" s="27"/>
      <c r="E60" s="27"/>
      <c r="F60" s="27"/>
      <c r="G60" s="27"/>
      <c r="H60" s="27"/>
      <c r="I60" s="27"/>
    </row>
    <row r="61" spans="1:15" x14ac:dyDescent="0.25">
      <c r="A61" s="8"/>
      <c r="B61" s="27"/>
      <c r="C61" s="27"/>
      <c r="D61" s="27"/>
      <c r="E61" s="27"/>
      <c r="F61" s="27"/>
      <c r="G61" s="27"/>
      <c r="H61" s="27"/>
      <c r="I61" s="27"/>
    </row>
    <row r="62" spans="1:15" x14ac:dyDescent="0.25">
      <c r="A62" s="8"/>
      <c r="B62" s="27"/>
      <c r="C62" s="27"/>
      <c r="D62" s="27"/>
      <c r="E62" s="27"/>
      <c r="F62" s="27"/>
      <c r="G62" s="27"/>
      <c r="H62" s="27"/>
      <c r="I62" s="27"/>
    </row>
    <row r="63" spans="1:15" x14ac:dyDescent="0.25">
      <c r="A63" s="8"/>
      <c r="B63" s="27"/>
      <c r="C63" s="27"/>
      <c r="D63" s="27"/>
      <c r="E63" s="27"/>
      <c r="F63" s="27"/>
      <c r="G63" s="27"/>
      <c r="H63" s="27"/>
      <c r="I63" s="27"/>
    </row>
  </sheetData>
  <mergeCells count="8">
    <mergeCell ref="A24:I24"/>
    <mergeCell ref="A25:I25"/>
    <mergeCell ref="A26:I26"/>
    <mergeCell ref="A1:I1"/>
    <mergeCell ref="A2:I2"/>
    <mergeCell ref="A3:I3"/>
    <mergeCell ref="A4:I4"/>
    <mergeCell ref="A23:I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3491-649F-4A9D-A231-16000F44662D}">
  <dimension ref="A1:O108"/>
  <sheetViews>
    <sheetView topLeftCell="A18" zoomScaleNormal="100" workbookViewId="0">
      <selection activeCell="G26" sqref="G26"/>
    </sheetView>
  </sheetViews>
  <sheetFormatPr defaultRowHeight="15" x14ac:dyDescent="0.25"/>
  <cols>
    <col min="1" max="1" width="11.140625" bestFit="1" customWidth="1"/>
    <col min="2" max="2" width="24.140625" bestFit="1" customWidth="1"/>
    <col min="3" max="9" width="24.7109375" bestFit="1" customWidth="1"/>
    <col min="13" max="13" width="11.140625" bestFit="1" customWidth="1"/>
  </cols>
  <sheetData>
    <row r="1" spans="1:15" x14ac:dyDescent="0.25">
      <c r="A1" s="62" t="s">
        <v>48</v>
      </c>
      <c r="B1" s="63"/>
      <c r="C1" s="63"/>
      <c r="D1" s="63"/>
      <c r="E1" s="63"/>
      <c r="F1" s="63"/>
      <c r="G1" s="63"/>
      <c r="H1" s="63"/>
      <c r="I1" s="64"/>
      <c r="J1" s="35"/>
      <c r="K1" s="35"/>
      <c r="L1" s="35"/>
      <c r="M1" s="35"/>
      <c r="N1" s="37"/>
      <c r="O1" s="37"/>
    </row>
    <row r="2" spans="1:15" x14ac:dyDescent="0.25">
      <c r="A2" s="65" t="s">
        <v>36</v>
      </c>
      <c r="B2" s="66"/>
      <c r="C2" s="66"/>
      <c r="D2" s="66"/>
      <c r="E2" s="66"/>
      <c r="F2" s="66"/>
      <c r="G2" s="66"/>
      <c r="H2" s="66"/>
      <c r="I2" s="67"/>
      <c r="J2" s="35"/>
      <c r="K2" s="35"/>
      <c r="L2" s="35"/>
      <c r="M2" s="35"/>
      <c r="N2" s="37"/>
      <c r="O2" s="37"/>
    </row>
    <row r="3" spans="1:15" x14ac:dyDescent="0.25">
      <c r="A3" s="65" t="s">
        <v>42</v>
      </c>
      <c r="B3" s="66"/>
      <c r="C3" s="66"/>
      <c r="D3" s="66"/>
      <c r="E3" s="66"/>
      <c r="F3" s="66"/>
      <c r="G3" s="66"/>
      <c r="H3" s="66"/>
      <c r="I3" s="67"/>
      <c r="J3" s="35"/>
      <c r="K3" s="35" t="s">
        <v>37</v>
      </c>
      <c r="L3" s="35"/>
      <c r="M3" s="40">
        <v>-5.7126501655492996</v>
      </c>
      <c r="N3" s="37"/>
      <c r="O3" s="37"/>
    </row>
    <row r="4" spans="1:15" x14ac:dyDescent="0.25">
      <c r="A4" s="65" t="s">
        <v>50</v>
      </c>
      <c r="B4" s="66"/>
      <c r="C4" s="66"/>
      <c r="D4" s="66"/>
      <c r="E4" s="66"/>
      <c r="F4" s="66"/>
      <c r="G4" s="66"/>
      <c r="H4" s="66"/>
      <c r="I4" s="67"/>
      <c r="J4" s="35"/>
      <c r="K4" s="35"/>
      <c r="L4" s="35"/>
      <c r="M4" s="35"/>
      <c r="N4" s="37"/>
      <c r="O4" s="37"/>
    </row>
    <row r="5" spans="1:15" ht="120" x14ac:dyDescent="0.25">
      <c r="A5" s="14" t="s">
        <v>3</v>
      </c>
      <c r="B5" s="13" t="s">
        <v>31</v>
      </c>
      <c r="C5" s="13" t="s">
        <v>4</v>
      </c>
      <c r="D5" s="13" t="s">
        <v>11</v>
      </c>
      <c r="E5" s="13" t="s">
        <v>32</v>
      </c>
      <c r="F5" s="13" t="s">
        <v>5</v>
      </c>
      <c r="G5" s="13" t="s">
        <v>6</v>
      </c>
      <c r="H5" s="13" t="s">
        <v>7</v>
      </c>
      <c r="I5" s="15" t="s">
        <v>8</v>
      </c>
      <c r="J5" s="35"/>
      <c r="K5" s="35"/>
      <c r="L5" s="35"/>
      <c r="M5" s="35"/>
      <c r="N5" s="37"/>
      <c r="O5" s="37"/>
    </row>
    <row r="6" spans="1:15" x14ac:dyDescent="0.25">
      <c r="A6" s="16" t="s">
        <v>9</v>
      </c>
      <c r="B6" s="5" t="s">
        <v>33</v>
      </c>
      <c r="C6" s="5" t="s">
        <v>20</v>
      </c>
      <c r="D6" s="5" t="s">
        <v>21</v>
      </c>
      <c r="E6" s="5" t="s">
        <v>34</v>
      </c>
      <c r="F6" s="12" t="s">
        <v>22</v>
      </c>
      <c r="G6" s="23" t="s">
        <v>52</v>
      </c>
      <c r="H6" s="12" t="s">
        <v>23</v>
      </c>
      <c r="I6" s="6" t="s">
        <v>24</v>
      </c>
      <c r="J6" s="35"/>
      <c r="K6" s="35"/>
      <c r="L6" s="35"/>
      <c r="M6" s="35"/>
      <c r="N6" s="37"/>
      <c r="O6" s="37"/>
    </row>
    <row r="7" spans="1:15" x14ac:dyDescent="0.25">
      <c r="A7" s="41">
        <v>1</v>
      </c>
      <c r="B7" s="42">
        <v>13</v>
      </c>
      <c r="C7" s="42">
        <v>-42.608779271731201</v>
      </c>
      <c r="D7" s="21" t="s">
        <v>30</v>
      </c>
      <c r="E7" s="21" t="s">
        <v>30</v>
      </c>
      <c r="F7" s="42">
        <f t="shared" ref="F7:F34" si="0">$M$3-C7</f>
        <v>36.896129106181903</v>
      </c>
      <c r="G7" s="21" t="s">
        <v>30</v>
      </c>
      <c r="H7" s="21" t="s">
        <v>30</v>
      </c>
      <c r="I7" s="22" t="s">
        <v>30</v>
      </c>
      <c r="J7" s="35"/>
      <c r="K7" s="9"/>
      <c r="L7" s="35"/>
      <c r="M7" s="35"/>
      <c r="N7" s="37"/>
      <c r="O7" s="37"/>
    </row>
    <row r="8" spans="1:15" x14ac:dyDescent="0.25">
      <c r="A8" s="41">
        <f>A7*2</f>
        <v>2</v>
      </c>
      <c r="B8" s="42">
        <v>6.5</v>
      </c>
      <c r="C8" s="42">
        <v>40.755136058513003</v>
      </c>
      <c r="D8" s="42">
        <f>F7/F8</f>
        <v>-0.79401521149023602</v>
      </c>
      <c r="E8" s="42">
        <f>(C9-C7)/(C9-C8)</f>
        <v>-0.65670494712078187</v>
      </c>
      <c r="F8" s="42">
        <f t="shared" si="0"/>
        <v>-46.467786224062301</v>
      </c>
      <c r="G8" s="42">
        <f>(C8-C7)/3</f>
        <v>27.787971776748066</v>
      </c>
      <c r="H8" s="42">
        <f>C8+G8</f>
        <v>68.543107835261068</v>
      </c>
      <c r="I8" s="43">
        <f t="shared" ref="I8:I34" si="1">$M$3-H8</f>
        <v>-74.255758000810374</v>
      </c>
      <c r="J8" s="35"/>
      <c r="K8" s="35"/>
      <c r="L8" s="35"/>
      <c r="M8" s="35"/>
      <c r="N8" s="37"/>
      <c r="O8" s="37"/>
    </row>
    <row r="9" spans="1:15" x14ac:dyDescent="0.25">
      <c r="A9" s="41">
        <f t="shared" ref="A9:A34" si="2">A8*2</f>
        <v>4</v>
      </c>
      <c r="B9" s="42">
        <v>3.25</v>
      </c>
      <c r="C9" s="42">
        <v>-9.5639720452708907</v>
      </c>
      <c r="D9" s="42">
        <f t="shared" ref="D9:D30" si="3">F8/F9</f>
        <v>-12.065412259808681</v>
      </c>
      <c r="E9" s="42">
        <f t="shared" ref="E9:E30" si="4">(C10-C8)/(C10-C9)</f>
        <v>-15.066917108378366</v>
      </c>
      <c r="F9" s="42">
        <f t="shared" si="0"/>
        <v>3.8513218797215911</v>
      </c>
      <c r="G9" s="42">
        <f t="shared" ref="G9:G34" si="5">(C9-C8)/3</f>
        <v>-16.773036034594629</v>
      </c>
      <c r="H9" s="42">
        <f t="shared" ref="H9:H30" si="6">C9+G9</f>
        <v>-26.33700807986552</v>
      </c>
      <c r="I9" s="43">
        <f t="shared" si="1"/>
        <v>20.624357914316221</v>
      </c>
      <c r="J9" s="35"/>
      <c r="K9" s="35"/>
      <c r="L9" s="35"/>
      <c r="M9" s="35"/>
      <c r="N9" s="37"/>
      <c r="O9" s="37"/>
    </row>
    <row r="10" spans="1:15" x14ac:dyDescent="0.25">
      <c r="A10" s="41">
        <f t="shared" si="2"/>
        <v>8</v>
      </c>
      <c r="B10" s="42">
        <v>1.625</v>
      </c>
      <c r="C10" s="42">
        <v>-6.4321261681583399</v>
      </c>
      <c r="D10" s="42">
        <f t="shared" si="3"/>
        <v>5.3529539077822177</v>
      </c>
      <c r="E10" s="42">
        <f t="shared" si="4"/>
        <v>6.6877406065618459</v>
      </c>
      <c r="F10" s="42">
        <f t="shared" si="0"/>
        <v>0.71947600260904032</v>
      </c>
      <c r="G10" s="42">
        <f t="shared" si="5"/>
        <v>1.0439486257041837</v>
      </c>
      <c r="H10" s="42">
        <f t="shared" si="6"/>
        <v>-5.388177542454156</v>
      </c>
      <c r="I10" s="43">
        <f t="shared" si="1"/>
        <v>-0.32447262309514358</v>
      </c>
      <c r="J10" s="35"/>
      <c r="K10" s="35"/>
      <c r="L10" s="35"/>
      <c r="M10" s="35"/>
      <c r="N10" s="37"/>
      <c r="O10" s="37"/>
    </row>
    <row r="11" spans="1:15" x14ac:dyDescent="0.25">
      <c r="A11" s="41">
        <f t="shared" si="2"/>
        <v>16</v>
      </c>
      <c r="B11" s="42">
        <v>0.8125</v>
      </c>
      <c r="C11" s="42">
        <v>-5.8814952421453999</v>
      </c>
      <c r="D11" s="42">
        <f t="shared" si="3"/>
        <v>4.261160687143529</v>
      </c>
      <c r="E11" s="42">
        <f t="shared" si="4"/>
        <v>5.3262876498259244</v>
      </c>
      <c r="F11" s="42">
        <f t="shared" si="0"/>
        <v>0.16884507659610026</v>
      </c>
      <c r="G11" s="42">
        <f t="shared" si="5"/>
        <v>0.18354364200431336</v>
      </c>
      <c r="H11" s="42">
        <f t="shared" si="6"/>
        <v>-5.6979516001410868</v>
      </c>
      <c r="I11" s="43">
        <f t="shared" si="1"/>
        <v>-1.4698565408212794E-2</v>
      </c>
      <c r="J11" s="35"/>
      <c r="K11" s="35"/>
      <c r="L11" s="35"/>
      <c r="M11" s="35"/>
      <c r="N11" s="37"/>
      <c r="O11" s="37"/>
    </row>
    <row r="12" spans="1:15" x14ac:dyDescent="0.25">
      <c r="A12" s="41">
        <f t="shared" si="2"/>
        <v>32</v>
      </c>
      <c r="B12" s="42">
        <v>0.40625</v>
      </c>
      <c r="C12" s="42">
        <v>-5.7542196260556802</v>
      </c>
      <c r="D12" s="42">
        <f t="shared" si="3"/>
        <v>4.0617577072039222</v>
      </c>
      <c r="E12" s="42">
        <f t="shared" si="4"/>
        <v>5.0771875311920915</v>
      </c>
      <c r="F12" s="42">
        <f t="shared" si="0"/>
        <v>4.1569460506380551E-2</v>
      </c>
      <c r="G12" s="42">
        <f t="shared" si="5"/>
        <v>4.2425205363239904E-2</v>
      </c>
      <c r="H12" s="42">
        <f t="shared" si="6"/>
        <v>-5.7117944206924403</v>
      </c>
      <c r="I12" s="43">
        <f t="shared" si="1"/>
        <v>-8.5574485685935286E-4</v>
      </c>
      <c r="J12" s="35"/>
      <c r="K12" s="35"/>
      <c r="L12" s="35"/>
      <c r="M12" s="35"/>
      <c r="N12" s="37"/>
      <c r="O12" s="37"/>
    </row>
    <row r="13" spans="1:15" x14ac:dyDescent="0.25">
      <c r="A13" s="41">
        <f t="shared" si="2"/>
        <v>64</v>
      </c>
      <c r="B13" s="42">
        <v>0.203125</v>
      </c>
      <c r="C13" s="42">
        <v>-5.7230031036082796</v>
      </c>
      <c r="D13" s="42">
        <f t="shared" si="3"/>
        <v>4.0152331898019904</v>
      </c>
      <c r="E13" s="42">
        <f t="shared" si="4"/>
        <v>5.0190408957919272</v>
      </c>
      <c r="F13" s="42">
        <f t="shared" si="0"/>
        <v>1.0352938058979966E-2</v>
      </c>
      <c r="G13" s="42">
        <f t="shared" si="5"/>
        <v>1.0405507482466861E-2</v>
      </c>
      <c r="H13" s="42">
        <f t="shared" si="6"/>
        <v>-5.7125975961258124</v>
      </c>
      <c r="I13" s="43">
        <f t="shared" si="1"/>
        <v>-5.2569423487192068E-5</v>
      </c>
      <c r="J13" s="35"/>
      <c r="K13" s="35"/>
      <c r="L13" s="35"/>
      <c r="M13" s="35"/>
      <c r="N13" s="37"/>
      <c r="O13" s="37"/>
    </row>
    <row r="14" spans="1:15" x14ac:dyDescent="0.25">
      <c r="A14" s="41">
        <f t="shared" si="2"/>
        <v>128</v>
      </c>
      <c r="B14" s="42">
        <v>0.1015625</v>
      </c>
      <c r="C14" s="42">
        <v>-5.7152359464041602</v>
      </c>
      <c r="D14" s="42">
        <f t="shared" si="3"/>
        <v>4.0037956192300994</v>
      </c>
      <c r="E14" s="42">
        <f t="shared" si="4"/>
        <v>5.004744487213828</v>
      </c>
      <c r="F14" s="42">
        <f t="shared" si="0"/>
        <v>2.5857808548606087E-3</v>
      </c>
      <c r="G14" s="42">
        <f t="shared" si="5"/>
        <v>2.5890524013731189E-3</v>
      </c>
      <c r="H14" s="42">
        <f t="shared" si="6"/>
        <v>-5.7126468940027868</v>
      </c>
      <c r="I14" s="43">
        <f t="shared" si="1"/>
        <v>-3.271546512806367E-6</v>
      </c>
      <c r="J14" s="35"/>
      <c r="K14" s="35"/>
      <c r="L14" s="35"/>
      <c r="M14" s="35"/>
      <c r="N14" s="37"/>
      <c r="O14" s="37"/>
    </row>
    <row r="15" spans="1:15" x14ac:dyDescent="0.25">
      <c r="A15" s="41">
        <f t="shared" si="2"/>
        <v>256</v>
      </c>
      <c r="B15" s="42">
        <v>5.078125E-2</v>
      </c>
      <c r="C15" s="42">
        <v>-5.7132964575731204</v>
      </c>
      <c r="D15" s="42">
        <f t="shared" si="3"/>
        <v>4.000948115642335</v>
      </c>
      <c r="E15" s="42">
        <f t="shared" si="4"/>
        <v>5.0011851423042213</v>
      </c>
      <c r="F15" s="42">
        <f t="shared" si="0"/>
        <v>6.4629202382082696E-4</v>
      </c>
      <c r="G15" s="42">
        <f t="shared" si="5"/>
        <v>6.4649627701326062E-4</v>
      </c>
      <c r="H15" s="42">
        <f t="shared" si="6"/>
        <v>-5.7126499612961075</v>
      </c>
      <c r="I15" s="43">
        <f t="shared" si="1"/>
        <v>-2.042531921375712E-7</v>
      </c>
      <c r="J15" s="35"/>
      <c r="K15" s="35"/>
      <c r="L15" s="35"/>
      <c r="M15" s="35"/>
      <c r="N15" s="37"/>
      <c r="O15" s="37"/>
    </row>
    <row r="16" spans="1:15" x14ac:dyDescent="0.25">
      <c r="A16" s="41">
        <f t="shared" si="2"/>
        <v>512</v>
      </c>
      <c r="B16" s="42">
        <v>2.5390625E-2</v>
      </c>
      <c r="C16" s="42">
        <v>-5.7128117289834499</v>
      </c>
      <c r="D16" s="42">
        <f t="shared" si="3"/>
        <v>4.0002369794862203</v>
      </c>
      <c r="E16" s="42">
        <f t="shared" si="4"/>
        <v>5.0002962238963553</v>
      </c>
      <c r="F16" s="42">
        <f t="shared" si="0"/>
        <v>1.615634341503025E-4</v>
      </c>
      <c r="G16" s="42">
        <f t="shared" si="5"/>
        <v>1.6157619655684149E-4</v>
      </c>
      <c r="H16" s="42">
        <f t="shared" si="6"/>
        <v>-5.7126501527868934</v>
      </c>
      <c r="I16" s="43">
        <f t="shared" si="1"/>
        <v>-1.2762406242927682E-8</v>
      </c>
      <c r="J16" s="35"/>
      <c r="K16" s="35"/>
      <c r="L16" s="35"/>
      <c r="M16" s="35"/>
      <c r="N16" s="37"/>
      <c r="O16" s="37"/>
    </row>
    <row r="17" spans="1:15" x14ac:dyDescent="0.25">
      <c r="A17" s="41">
        <f t="shared" si="2"/>
        <v>1024</v>
      </c>
      <c r="B17" s="42">
        <v>1.26953125E-2</v>
      </c>
      <c r="C17" s="42">
        <v>-5.7126905558096297</v>
      </c>
      <c r="D17" s="42">
        <f t="shared" si="3"/>
        <v>4.0000592427460147</v>
      </c>
      <c r="E17" s="42">
        <f t="shared" si="4"/>
        <v>5.0000740540869568</v>
      </c>
      <c r="F17" s="42">
        <f t="shared" si="0"/>
        <v>4.0390260330092076E-5</v>
      </c>
      <c r="G17" s="42">
        <f t="shared" si="5"/>
        <v>4.0391057940070141E-5</v>
      </c>
      <c r="H17" s="42">
        <f t="shared" si="6"/>
        <v>-5.7126501647516896</v>
      </c>
      <c r="I17" s="43">
        <f t="shared" si="1"/>
        <v>-7.9760997806488376E-10</v>
      </c>
      <c r="J17" s="35"/>
      <c r="K17" s="35"/>
      <c r="L17" s="35"/>
      <c r="M17" s="35"/>
      <c r="N17" s="37"/>
      <c r="O17" s="37"/>
    </row>
    <row r="18" spans="1:15" x14ac:dyDescent="0.25">
      <c r="A18" s="41">
        <f t="shared" si="2"/>
        <v>2048</v>
      </c>
      <c r="B18" s="42">
        <v>6.34765625E-3</v>
      </c>
      <c r="C18" s="42">
        <v>-5.7126602630769998</v>
      </c>
      <c r="D18" s="42">
        <f t="shared" si="3"/>
        <v>4.0000148085038525</v>
      </c>
      <c r="E18" s="42">
        <f t="shared" si="4"/>
        <v>5.0000185060721556</v>
      </c>
      <c r="F18" s="42">
        <f t="shared" si="0"/>
        <v>1.0097527700203557E-5</v>
      </c>
      <c r="G18" s="42">
        <f t="shared" si="5"/>
        <v>1.0097577543296174E-5</v>
      </c>
      <c r="H18" s="42">
        <f t="shared" si="6"/>
        <v>-5.7126501654994568</v>
      </c>
      <c r="I18" s="43">
        <f t="shared" si="1"/>
        <v>-4.9842796556731628E-11</v>
      </c>
      <c r="J18" s="35"/>
      <c r="K18" s="35"/>
      <c r="L18" s="35"/>
      <c r="M18" s="35"/>
      <c r="N18" s="37"/>
      <c r="O18" s="37"/>
    </row>
    <row r="19" spans="1:15" x14ac:dyDescent="0.25">
      <c r="A19" s="41">
        <f t="shared" si="2"/>
        <v>4096</v>
      </c>
      <c r="B19" s="42">
        <v>3.173828125E-3</v>
      </c>
      <c r="C19" s="42">
        <v>-5.7126526899288796</v>
      </c>
      <c r="D19" s="42">
        <f t="shared" si="3"/>
        <v>4.0000037157852031</v>
      </c>
      <c r="E19" s="42">
        <f t="shared" si="4"/>
        <v>5.0000046269338707</v>
      </c>
      <c r="F19" s="42">
        <f t="shared" si="0"/>
        <v>2.5243795800378166E-6</v>
      </c>
      <c r="G19" s="42">
        <f t="shared" si="5"/>
        <v>2.5243827067219136E-6</v>
      </c>
      <c r="H19" s="42">
        <f t="shared" si="6"/>
        <v>-5.7126501655461732</v>
      </c>
      <c r="I19" s="43">
        <f t="shared" si="1"/>
        <v>-3.1263880373444408E-12</v>
      </c>
      <c r="J19" s="35"/>
      <c r="K19" s="35"/>
      <c r="L19" s="35"/>
      <c r="M19" s="35"/>
      <c r="N19" s="37"/>
      <c r="O19" s="37"/>
    </row>
    <row r="20" spans="1:15" x14ac:dyDescent="0.25">
      <c r="A20" s="41">
        <f t="shared" si="2"/>
        <v>8192</v>
      </c>
      <c r="B20" s="42">
        <v>1.5869140625E-3</v>
      </c>
      <c r="C20" s="42">
        <v>-5.7126507966440396</v>
      </c>
      <c r="D20" s="42">
        <f t="shared" si="3"/>
        <v>4.0000009823383049</v>
      </c>
      <c r="E20" s="42">
        <f t="shared" si="4"/>
        <v>5.0000013529435057</v>
      </c>
      <c r="F20" s="42">
        <f t="shared" si="0"/>
        <v>6.3109474002231991E-7</v>
      </c>
      <c r="G20" s="42">
        <f t="shared" si="5"/>
        <v>6.3109494667183219E-7</v>
      </c>
      <c r="H20" s="42">
        <f t="shared" si="6"/>
        <v>-5.7126501655490927</v>
      </c>
      <c r="I20" s="43">
        <f t="shared" si="1"/>
        <v>-2.0694557179012918E-13</v>
      </c>
      <c r="J20" s="35"/>
      <c r="K20" s="35"/>
      <c r="L20" s="35"/>
      <c r="M20" s="35"/>
      <c r="N20" s="37"/>
      <c r="O20" s="37"/>
    </row>
    <row r="21" spans="1:15" x14ac:dyDescent="0.25">
      <c r="A21" s="41">
        <f t="shared" si="2"/>
        <v>16384</v>
      </c>
      <c r="B21" s="42">
        <v>7.9345703125E-4</v>
      </c>
      <c r="C21" s="42">
        <v>-5.7126503233229897</v>
      </c>
      <c r="D21" s="42">
        <f t="shared" si="3"/>
        <v>3.9999998705227493</v>
      </c>
      <c r="E21" s="42">
        <f t="shared" si="4"/>
        <v>4.9999987540163549</v>
      </c>
      <c r="F21" s="42">
        <f t="shared" si="0"/>
        <v>1.5777369011260589E-7</v>
      </c>
      <c r="G21" s="42">
        <f t="shared" si="5"/>
        <v>1.5777368330323802E-7</v>
      </c>
      <c r="H21" s="42">
        <f t="shared" si="6"/>
        <v>-5.7126501655493067</v>
      </c>
      <c r="I21" s="43">
        <f t="shared" si="1"/>
        <v>7.1054273576010019E-15</v>
      </c>
      <c r="J21" s="35"/>
      <c r="K21" s="35"/>
      <c r="L21" s="35"/>
      <c r="M21" s="35"/>
      <c r="N21" s="37"/>
      <c r="O21" s="37"/>
    </row>
    <row r="22" spans="1:15" x14ac:dyDescent="0.25">
      <c r="A22" s="41">
        <f t="shared" si="2"/>
        <v>32768</v>
      </c>
      <c r="B22" s="42">
        <v>3.96728515625E-4</v>
      </c>
      <c r="C22" s="42">
        <v>-5.7126502049926904</v>
      </c>
      <c r="D22" s="42">
        <f t="shared" si="3"/>
        <v>4.0000032200455262</v>
      </c>
      <c r="E22" s="42">
        <f t="shared" si="4"/>
        <v>5.0000060347732642</v>
      </c>
      <c r="F22" s="42">
        <f t="shared" si="0"/>
        <v>3.9443390775772968E-8</v>
      </c>
      <c r="G22" s="42">
        <f t="shared" si="5"/>
        <v>3.9443433112277639E-8</v>
      </c>
      <c r="H22" s="42">
        <f t="shared" si="6"/>
        <v>-5.712650165549257</v>
      </c>
      <c r="I22" s="43">
        <f t="shared" si="1"/>
        <v>-4.2632564145606011E-14</v>
      </c>
      <c r="J22" s="35"/>
      <c r="K22" s="35"/>
      <c r="L22" s="35"/>
      <c r="M22" s="35"/>
      <c r="N22" s="37"/>
      <c r="O22" s="37"/>
    </row>
    <row r="23" spans="1:15" x14ac:dyDescent="0.25">
      <c r="A23" s="41">
        <f t="shared" si="2"/>
        <v>65536</v>
      </c>
      <c r="B23" s="42">
        <v>1.983642578125E-4</v>
      </c>
      <c r="C23" s="42">
        <v>-5.7126501754101602</v>
      </c>
      <c r="D23" s="42">
        <f t="shared" si="3"/>
        <v>3.9999947758770178</v>
      </c>
      <c r="E23" s="42">
        <f t="shared" si="4"/>
        <v>4.9999687755462565</v>
      </c>
      <c r="F23" s="42">
        <f t="shared" si="0"/>
        <v>9.8608605725303278E-9</v>
      </c>
      <c r="G23" s="42">
        <f t="shared" si="5"/>
        <v>9.8608434010808797E-9</v>
      </c>
      <c r="H23" s="42">
        <f t="shared" si="6"/>
        <v>-5.7126501655493165</v>
      </c>
      <c r="I23" s="43">
        <f t="shared" si="1"/>
        <v>1.6875389974302379E-14</v>
      </c>
      <c r="J23" s="35"/>
      <c r="K23" s="35"/>
      <c r="L23" s="35"/>
      <c r="M23" s="35"/>
      <c r="N23" s="37"/>
      <c r="O23" s="37"/>
    </row>
    <row r="24" spans="1:15" x14ac:dyDescent="0.25">
      <c r="A24" s="41">
        <f t="shared" si="2"/>
        <v>131072</v>
      </c>
      <c r="B24" s="42">
        <v>9.918212890625E-5</v>
      </c>
      <c r="C24" s="42">
        <v>-5.7126501680144699</v>
      </c>
      <c r="D24" s="42">
        <f t="shared" si="3"/>
        <v>4.000072778761572</v>
      </c>
      <c r="E24" s="42">
        <f t="shared" si="4"/>
        <v>5.0000917539610326</v>
      </c>
      <c r="F24" s="42">
        <f t="shared" si="0"/>
        <v>2.4651702901223871E-9</v>
      </c>
      <c r="G24" s="42">
        <f t="shared" si="5"/>
        <v>2.4652300941359804E-9</v>
      </c>
      <c r="H24" s="42">
        <f t="shared" si="6"/>
        <v>-5.7126501655492401</v>
      </c>
      <c r="I24" s="43">
        <f t="shared" si="1"/>
        <v>-5.9507954119908391E-14</v>
      </c>
      <c r="J24" s="35"/>
      <c r="K24" s="35"/>
      <c r="L24" s="35"/>
      <c r="M24" s="35"/>
      <c r="N24" s="37"/>
      <c r="O24" s="37"/>
    </row>
    <row r="25" spans="1:15" x14ac:dyDescent="0.25">
      <c r="A25" s="41">
        <f t="shared" si="2"/>
        <v>262144</v>
      </c>
      <c r="B25" s="42">
        <v>4.9591064453125E-5</v>
      </c>
      <c r="C25" s="42">
        <v>-5.7126501661655897</v>
      </c>
      <c r="D25" s="42">
        <f t="shared" si="3"/>
        <v>4.0000158528623784</v>
      </c>
      <c r="E25" s="42">
        <f t="shared" si="4"/>
        <v>4.9987897904416494</v>
      </c>
      <c r="F25" s="42">
        <f t="shared" si="0"/>
        <v>6.162901300399426E-10</v>
      </c>
      <c r="G25" s="42">
        <f t="shared" si="5"/>
        <v>6.1629338669414813E-10</v>
      </c>
      <c r="H25" s="42">
        <f t="shared" si="6"/>
        <v>-5.7126501655492961</v>
      </c>
      <c r="I25" s="43">
        <f t="shared" si="1"/>
        <v>0</v>
      </c>
      <c r="J25" s="35"/>
      <c r="K25" s="35"/>
      <c r="L25" s="35"/>
      <c r="M25" s="35"/>
      <c r="N25" s="37"/>
      <c r="O25" s="37"/>
    </row>
    <row r="26" spans="1:15" x14ac:dyDescent="0.25">
      <c r="A26" s="41">
        <f t="shared" si="2"/>
        <v>524288</v>
      </c>
      <c r="B26" s="42">
        <v>2.47955322265625E-5</v>
      </c>
      <c r="C26" s="42">
        <v>-5.7126501657032298</v>
      </c>
      <c r="D26" s="42">
        <f t="shared" si="3"/>
        <v>4.0036985748081468</v>
      </c>
      <c r="E26" s="42">
        <f t="shared" si="4"/>
        <v>5.0156360887407816</v>
      </c>
      <c r="F26" s="42">
        <f t="shared" si="0"/>
        <v>1.539302019182287E-10</v>
      </c>
      <c r="G26" s="42">
        <f t="shared" si="5"/>
        <v>1.5411997604057129E-10</v>
      </c>
      <c r="H26" s="42">
        <f t="shared" si="6"/>
        <v>-5.7126501655491095</v>
      </c>
      <c r="I26" s="43">
        <f t="shared" si="1"/>
        <v>-1.900701818158268E-13</v>
      </c>
      <c r="J26" s="35"/>
      <c r="K26" s="35"/>
      <c r="L26" s="35"/>
      <c r="M26" s="35"/>
      <c r="N26" s="37"/>
      <c r="O26" s="37"/>
    </row>
    <row r="27" spans="1:15" x14ac:dyDescent="0.25">
      <c r="A27" s="41">
        <f t="shared" si="2"/>
        <v>1048576</v>
      </c>
      <c r="B27" s="42">
        <v>1.2397766113281301E-5</v>
      </c>
      <c r="C27" s="42">
        <v>-5.7126501655880899</v>
      </c>
      <c r="D27" s="42">
        <f t="shared" si="3"/>
        <v>3.9682648715482896</v>
      </c>
      <c r="E27" s="42">
        <f t="shared" si="4"/>
        <v>4.9472626514828573</v>
      </c>
      <c r="F27" s="42">
        <f t="shared" si="0"/>
        <v>3.8790304301983269E-11</v>
      </c>
      <c r="G27" s="42">
        <f t="shared" si="5"/>
        <v>3.8379965872081812E-11</v>
      </c>
      <c r="H27" s="42">
        <f t="shared" si="6"/>
        <v>-5.7126501655497099</v>
      </c>
      <c r="I27" s="43">
        <f t="shared" si="1"/>
        <v>4.1033842990145786E-13</v>
      </c>
      <c r="J27" s="35"/>
      <c r="K27" s="35"/>
      <c r="L27" s="35"/>
      <c r="M27" s="35"/>
      <c r="N27" s="37"/>
      <c r="O27" s="37"/>
    </row>
    <row r="28" spans="1:15" x14ac:dyDescent="0.25">
      <c r="A28" s="41">
        <f t="shared" si="2"/>
        <v>2097152</v>
      </c>
      <c r="B28" s="42">
        <v>6.1988830566406301E-6</v>
      </c>
      <c r="C28" s="42">
        <v>-5.7126501655589204</v>
      </c>
      <c r="D28" s="42">
        <f t="shared" si="3"/>
        <v>4.0319423929098965</v>
      </c>
      <c r="E28" s="42">
        <f t="shared" si="4"/>
        <v>5.0178615121115735</v>
      </c>
      <c r="F28" s="42">
        <f t="shared" si="0"/>
        <v>9.6207486421917565E-12</v>
      </c>
      <c r="G28" s="42">
        <f t="shared" si="5"/>
        <v>9.7231852199305048E-12</v>
      </c>
      <c r="H28" s="42">
        <f t="shared" si="6"/>
        <v>-5.7126501655491975</v>
      </c>
      <c r="I28" s="43">
        <f t="shared" si="1"/>
        <v>-1.021405182655144E-13</v>
      </c>
      <c r="J28" s="35"/>
      <c r="K28" s="35"/>
      <c r="L28" s="35"/>
      <c r="M28" s="35"/>
      <c r="N28" s="37"/>
      <c r="O28" s="37"/>
    </row>
    <row r="29" spans="1:15" x14ac:dyDescent="0.25">
      <c r="A29" s="41">
        <f t="shared" si="2"/>
        <v>4194304</v>
      </c>
      <c r="B29" s="42">
        <v>3.09944152832031E-6</v>
      </c>
      <c r="C29" s="42">
        <v>-5.7126501655516604</v>
      </c>
      <c r="D29" s="42">
        <f t="shared" si="3"/>
        <v>4.0752445447705039</v>
      </c>
      <c r="E29" s="42">
        <f t="shared" si="4"/>
        <v>4.1694455215199691</v>
      </c>
      <c r="F29" s="42">
        <f t="shared" si="0"/>
        <v>2.3607782395629329E-12</v>
      </c>
      <c r="G29" s="42">
        <f t="shared" si="5"/>
        <v>2.4199901342096077E-12</v>
      </c>
      <c r="H29" s="42">
        <f t="shared" si="6"/>
        <v>-5.7126501655492401</v>
      </c>
      <c r="I29" s="43">
        <f t="shared" si="1"/>
        <v>-5.9507954119908391E-14</v>
      </c>
      <c r="J29" s="35"/>
      <c r="K29" s="35"/>
      <c r="L29" s="35"/>
      <c r="M29" s="35"/>
      <c r="N29" s="37"/>
      <c r="O29" s="37"/>
    </row>
    <row r="30" spans="1:15" x14ac:dyDescent="0.25">
      <c r="A30" s="41">
        <f t="shared" si="2"/>
        <v>8388608</v>
      </c>
      <c r="B30" s="42">
        <v>1.5497207641601601E-6</v>
      </c>
      <c r="C30" s="42">
        <v>-5.7126501655493698</v>
      </c>
      <c r="D30" s="42">
        <f t="shared" si="3"/>
        <v>33.645569620253163</v>
      </c>
      <c r="E30" s="42">
        <f t="shared" si="4"/>
        <v>2.647923322683706</v>
      </c>
      <c r="F30" s="42">
        <f t="shared" si="0"/>
        <v>7.0166095156309893E-14</v>
      </c>
      <c r="G30" s="42">
        <f t="shared" si="5"/>
        <v>7.6353738146887429E-13</v>
      </c>
      <c r="H30" s="42">
        <f t="shared" si="6"/>
        <v>-5.7126501655486059</v>
      </c>
      <c r="I30" s="43">
        <f t="shared" si="1"/>
        <v>-6.9366734578579781E-13</v>
      </c>
      <c r="J30" s="35"/>
      <c r="K30" s="35"/>
      <c r="L30" s="35"/>
      <c r="M30" s="35"/>
      <c r="N30" s="37"/>
      <c r="O30" s="37"/>
    </row>
    <row r="31" spans="1:15" x14ac:dyDescent="0.25">
      <c r="A31" s="41">
        <f t="shared" si="2"/>
        <v>16777216</v>
      </c>
      <c r="B31" s="42">
        <v>7.7486038208007802E-7</v>
      </c>
      <c r="C31" s="42">
        <v>-5.7126501655479798</v>
      </c>
      <c r="D31" s="42">
        <f t="shared" ref="D31:D33" si="7">F30/F31</f>
        <v>-5.3162853297442803E-2</v>
      </c>
      <c r="E31" s="42">
        <f t="shared" ref="E31:E33" si="8">(C32-C30)/(C32-C31)</f>
        <v>-0.41757246376811596</v>
      </c>
      <c r="F31" s="42">
        <f t="shared" si="0"/>
        <v>-1.3198331316743861E-12</v>
      </c>
      <c r="G31" s="42">
        <f t="shared" si="5"/>
        <v>4.6333307561023196E-13</v>
      </c>
      <c r="H31" s="42">
        <f t="shared" ref="H31:H33" si="9">C31+G31</f>
        <v>-5.7126501655475161</v>
      </c>
      <c r="I31" s="43">
        <f t="shared" si="1"/>
        <v>-1.7834622667578515E-12</v>
      </c>
      <c r="J31" s="35"/>
      <c r="K31" s="35"/>
      <c r="L31" s="35"/>
      <c r="M31" s="35"/>
      <c r="N31" s="37"/>
      <c r="O31" s="37"/>
    </row>
    <row r="32" spans="1:15" x14ac:dyDescent="0.25">
      <c r="A32" s="41">
        <f t="shared" si="2"/>
        <v>33554432</v>
      </c>
      <c r="B32" s="42">
        <v>3.8743019104003901E-7</v>
      </c>
      <c r="C32" s="42">
        <v>-5.7126501655489603</v>
      </c>
      <c r="D32" s="42">
        <f t="shared" si="7"/>
        <v>3.8900523560209423</v>
      </c>
      <c r="E32" s="42">
        <f t="shared" si="8"/>
        <v>0.64604039756332154</v>
      </c>
      <c r="F32" s="42">
        <f t="shared" si="0"/>
        <v>-3.3928415632544784E-13</v>
      </c>
      <c r="G32" s="42">
        <f t="shared" si="5"/>
        <v>-3.2684965844964609E-13</v>
      </c>
      <c r="H32" s="42">
        <f t="shared" si="9"/>
        <v>-5.7126501655492872</v>
      </c>
      <c r="I32" s="43">
        <f t="shared" si="1"/>
        <v>-1.2434497875801753E-14</v>
      </c>
      <c r="J32" s="35"/>
      <c r="K32" s="35"/>
      <c r="L32" s="35"/>
      <c r="M32" s="35"/>
      <c r="N32" s="37"/>
      <c r="O32" s="37"/>
    </row>
    <row r="33" spans="1:15" x14ac:dyDescent="0.25">
      <c r="A33" s="41">
        <f t="shared" si="2"/>
        <v>67108864</v>
      </c>
      <c r="B33" s="42">
        <v>1.9371509552002001E-7</v>
      </c>
      <c r="C33" s="42">
        <v>-5.7126501655461901</v>
      </c>
      <c r="D33" s="42">
        <f t="shared" si="7"/>
        <v>0.10911168237646386</v>
      </c>
      <c r="E33" s="42">
        <f t="shared" si="8"/>
        <v>0.12877094972067038</v>
      </c>
      <c r="F33" s="42">
        <f t="shared" si="0"/>
        <v>-3.1095126473701384E-12</v>
      </c>
      <c r="G33" s="42">
        <f t="shared" si="5"/>
        <v>9.2340949701489693E-13</v>
      </c>
      <c r="H33" s="42">
        <f t="shared" si="9"/>
        <v>-5.7126501655452664</v>
      </c>
      <c r="I33" s="43">
        <f t="shared" si="1"/>
        <v>-4.0332182038582687E-12</v>
      </c>
      <c r="J33" s="35"/>
      <c r="K33" s="35"/>
      <c r="L33" s="35"/>
      <c r="M33" s="35"/>
      <c r="N33" s="37"/>
      <c r="O33" s="37"/>
    </row>
    <row r="34" spans="1:15" ht="15.75" thickBot="1" x14ac:dyDescent="0.3">
      <c r="A34" s="44">
        <f t="shared" si="2"/>
        <v>134217728</v>
      </c>
      <c r="B34" s="45">
        <v>9.6857547760009805E-8</v>
      </c>
      <c r="C34" s="45">
        <v>-5.7126501655493698</v>
      </c>
      <c r="D34" s="45">
        <f t="shared" ref="D34" si="10">F33/F34</f>
        <v>-44.316455696202532</v>
      </c>
      <c r="E34" s="45">
        <f t="shared" ref="E34" si="11">(C35-C33)/(C35-C34)</f>
        <v>0.99999999999944345</v>
      </c>
      <c r="F34" s="45">
        <f t="shared" si="0"/>
        <v>7.0166095156309893E-14</v>
      </c>
      <c r="G34" s="45">
        <f t="shared" si="5"/>
        <v>-1.0598929141754827E-12</v>
      </c>
      <c r="H34" s="45">
        <f t="shared" ref="H34" si="12">C34+G34</f>
        <v>-5.7126501655504294</v>
      </c>
      <c r="I34" s="46">
        <f t="shared" si="1"/>
        <v>1.1297629498585593E-12</v>
      </c>
      <c r="J34" s="35"/>
      <c r="K34" s="35"/>
      <c r="L34" s="35"/>
      <c r="M34" s="35"/>
      <c r="N34" s="37"/>
      <c r="O34" s="37"/>
    </row>
    <row r="35" spans="1:15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7"/>
      <c r="O35" s="37"/>
    </row>
    <row r="36" spans="1:15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7"/>
      <c r="O36" s="37"/>
    </row>
    <row r="37" spans="1:15" ht="15.75" thickBot="1" x14ac:dyDescent="0.3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7"/>
      <c r="O37" s="37"/>
    </row>
    <row r="38" spans="1:15" x14ac:dyDescent="0.25">
      <c r="A38" s="62" t="s">
        <v>49</v>
      </c>
      <c r="B38" s="63"/>
      <c r="C38" s="63"/>
      <c r="D38" s="63"/>
      <c r="E38" s="63"/>
      <c r="F38" s="63"/>
      <c r="G38" s="63"/>
      <c r="H38" s="63"/>
      <c r="I38" s="64"/>
      <c r="J38" s="35"/>
      <c r="K38" s="35"/>
      <c r="L38" s="35"/>
      <c r="M38" s="35"/>
      <c r="N38" s="37"/>
      <c r="O38" s="37"/>
    </row>
    <row r="39" spans="1:15" x14ac:dyDescent="0.25">
      <c r="A39" s="65" t="s">
        <v>41</v>
      </c>
      <c r="B39" s="66"/>
      <c r="C39" s="66"/>
      <c r="D39" s="66"/>
      <c r="E39" s="66"/>
      <c r="F39" s="66"/>
      <c r="G39" s="66"/>
      <c r="H39" s="66"/>
      <c r="I39" s="67"/>
      <c r="J39" s="35"/>
      <c r="K39" s="35"/>
      <c r="L39" s="35"/>
      <c r="M39" s="35"/>
      <c r="N39" s="37"/>
      <c r="O39" s="37"/>
    </row>
    <row r="40" spans="1:15" x14ac:dyDescent="0.25">
      <c r="A40" s="65" t="s">
        <v>42</v>
      </c>
      <c r="B40" s="66"/>
      <c r="C40" s="66"/>
      <c r="D40" s="66"/>
      <c r="E40" s="66"/>
      <c r="F40" s="66"/>
      <c r="G40" s="66"/>
      <c r="H40" s="66"/>
      <c r="I40" s="67"/>
      <c r="J40" s="35"/>
      <c r="K40" s="35"/>
      <c r="L40" s="35"/>
      <c r="M40" s="35"/>
      <c r="N40" s="37"/>
      <c r="O40" s="37"/>
    </row>
    <row r="41" spans="1:15" x14ac:dyDescent="0.25">
      <c r="A41" s="65" t="s">
        <v>50</v>
      </c>
      <c r="B41" s="66"/>
      <c r="C41" s="66"/>
      <c r="D41" s="66"/>
      <c r="E41" s="66"/>
      <c r="F41" s="66"/>
      <c r="G41" s="66"/>
      <c r="H41" s="66"/>
      <c r="I41" s="67"/>
      <c r="J41" s="35"/>
      <c r="K41" s="35"/>
      <c r="L41" s="35"/>
      <c r="M41" s="35"/>
      <c r="N41" s="37"/>
      <c r="O41" s="37"/>
    </row>
    <row r="42" spans="1:15" ht="124.5" customHeight="1" x14ac:dyDescent="0.25">
      <c r="A42" s="14" t="s">
        <v>3</v>
      </c>
      <c r="B42" s="13" t="s">
        <v>31</v>
      </c>
      <c r="C42" s="13" t="s">
        <v>4</v>
      </c>
      <c r="D42" s="13" t="s">
        <v>11</v>
      </c>
      <c r="E42" s="13" t="s">
        <v>32</v>
      </c>
      <c r="F42" s="13" t="s">
        <v>5</v>
      </c>
      <c r="G42" s="13" t="s">
        <v>6</v>
      </c>
      <c r="H42" s="13" t="s">
        <v>7</v>
      </c>
      <c r="I42" s="15" t="s">
        <v>8</v>
      </c>
      <c r="J42" s="35"/>
      <c r="K42" s="35"/>
      <c r="L42" s="35"/>
      <c r="M42" s="35"/>
      <c r="N42" s="37"/>
      <c r="O42" s="37"/>
    </row>
    <row r="43" spans="1:15" x14ac:dyDescent="0.25">
      <c r="A43" s="16" t="s">
        <v>9</v>
      </c>
      <c r="B43" s="5" t="s">
        <v>33</v>
      </c>
      <c r="C43" s="5" t="s">
        <v>20</v>
      </c>
      <c r="D43" s="5" t="s">
        <v>21</v>
      </c>
      <c r="E43" s="5" t="s">
        <v>34</v>
      </c>
      <c r="F43" s="12" t="s">
        <v>22</v>
      </c>
      <c r="G43" s="23" t="s">
        <v>52</v>
      </c>
      <c r="H43" s="12" t="s">
        <v>23</v>
      </c>
      <c r="I43" s="6" t="s">
        <v>24</v>
      </c>
      <c r="J43" s="35"/>
      <c r="K43" s="35"/>
      <c r="L43" s="35"/>
      <c r="M43" s="35"/>
      <c r="N43" s="37"/>
      <c r="O43" s="37"/>
    </row>
    <row r="44" spans="1:15" x14ac:dyDescent="0.25">
      <c r="A44" s="41">
        <v>1</v>
      </c>
      <c r="B44" s="42">
        <v>13</v>
      </c>
      <c r="C44" s="42">
        <v>-40.1507847499077</v>
      </c>
      <c r="D44" s="21" t="s">
        <v>30</v>
      </c>
      <c r="E44" s="21" t="s">
        <v>30</v>
      </c>
      <c r="F44" s="42">
        <f t="shared" ref="F44:F62" si="13">$M$3-C44</f>
        <v>34.438134584358401</v>
      </c>
      <c r="G44" s="21" t="s">
        <v>30</v>
      </c>
      <c r="H44" s="21" t="s">
        <v>30</v>
      </c>
      <c r="I44" s="22" t="s">
        <v>30</v>
      </c>
      <c r="J44" s="35"/>
      <c r="K44" s="35"/>
      <c r="L44" s="35"/>
      <c r="M44" s="35"/>
      <c r="N44" s="37"/>
      <c r="O44" s="37"/>
    </row>
    <row r="45" spans="1:15" x14ac:dyDescent="0.25">
      <c r="A45" s="41">
        <f>A44*2</f>
        <v>2</v>
      </c>
      <c r="B45" s="42">
        <v>6.5</v>
      </c>
      <c r="C45" s="42">
        <v>14.1961615426767</v>
      </c>
      <c r="D45" s="42">
        <f>F44/F45</f>
        <v>-1.7297935752804934</v>
      </c>
      <c r="E45" s="42">
        <f>(C46-C44)/(C46-C45)</f>
        <v>-1.6816035754756138</v>
      </c>
      <c r="F45" s="42">
        <f t="shared" si="13"/>
        <v>-19.908811708226001</v>
      </c>
      <c r="G45" s="42">
        <f>(C45-C44)/15</f>
        <v>3.6231297528389601</v>
      </c>
      <c r="H45" s="42">
        <f>C45+G45</f>
        <v>17.819291295515661</v>
      </c>
      <c r="I45" s="43">
        <f t="shared" ref="I45:I62" si="14">$M$3-H45</f>
        <v>-23.53194146106496</v>
      </c>
      <c r="J45" s="35"/>
      <c r="K45" s="35"/>
      <c r="L45" s="35"/>
      <c r="M45" s="35"/>
      <c r="N45" s="37"/>
      <c r="O45" s="37"/>
    </row>
    <row r="46" spans="1:15" x14ac:dyDescent="0.25">
      <c r="A46" s="41">
        <f t="shared" ref="A46:A62" si="15">A45*2</f>
        <v>4</v>
      </c>
      <c r="B46" s="42">
        <v>3.25</v>
      </c>
      <c r="C46" s="42">
        <v>-6.0704232685944204</v>
      </c>
      <c r="D46" s="42">
        <f t="shared" ref="D46:D62" si="16">F45/F46</f>
        <v>-55.646474088677337</v>
      </c>
      <c r="E46" s="42">
        <f t="shared" ref="E46:E62" si="17">(C47-C45)/(C47-C46)</f>
        <v>-58.411393973626964</v>
      </c>
      <c r="F46" s="42">
        <f t="shared" si="13"/>
        <v>0.35777310304512078</v>
      </c>
      <c r="G46" s="42">
        <f t="shared" ref="G46:G62" si="18">(C46-C45)/15</f>
        <v>-1.3511056540847413</v>
      </c>
      <c r="H46" s="42">
        <f t="shared" ref="H46:H62" si="19">C46+G46</f>
        <v>-7.4215289226791619</v>
      </c>
      <c r="I46" s="43">
        <f t="shared" si="14"/>
        <v>1.7088787571298623</v>
      </c>
      <c r="J46" s="35"/>
      <c r="K46" s="35"/>
      <c r="L46" s="35"/>
      <c r="M46" s="35"/>
      <c r="N46" s="37"/>
      <c r="O46" s="37"/>
    </row>
    <row r="47" spans="1:15" x14ac:dyDescent="0.25">
      <c r="A47" s="41">
        <f t="shared" si="15"/>
        <v>8</v>
      </c>
      <c r="B47" s="42">
        <v>1.625</v>
      </c>
      <c r="C47" s="42">
        <v>-5.72930040552429</v>
      </c>
      <c r="D47" s="42">
        <f t="shared" si="16"/>
        <v>21.48756435838262</v>
      </c>
      <c r="E47" s="42">
        <f t="shared" si="17"/>
        <v>22.763053417846933</v>
      </c>
      <c r="F47" s="42">
        <f t="shared" si="13"/>
        <v>1.6650239974990377E-2</v>
      </c>
      <c r="G47" s="42">
        <f t="shared" si="18"/>
        <v>2.2741524204675359E-2</v>
      </c>
      <c r="H47" s="42">
        <f t="shared" si="19"/>
        <v>-5.7065588813196149</v>
      </c>
      <c r="I47" s="43">
        <f t="shared" si="14"/>
        <v>-6.0912842296847458E-3</v>
      </c>
      <c r="J47" s="35"/>
      <c r="K47" s="35"/>
      <c r="L47" s="35"/>
      <c r="M47" s="35"/>
      <c r="N47" s="37"/>
      <c r="O47" s="37"/>
    </row>
    <row r="48" spans="1:15" x14ac:dyDescent="0.25">
      <c r="A48" s="41">
        <f t="shared" si="15"/>
        <v>16</v>
      </c>
      <c r="B48" s="42">
        <v>0.8125</v>
      </c>
      <c r="C48" s="42">
        <v>-5.7136260028326902</v>
      </c>
      <c r="D48" s="42">
        <f t="shared" si="16"/>
        <v>17.062516731415254</v>
      </c>
      <c r="E48" s="42">
        <f t="shared" si="17"/>
        <v>18.115697240350936</v>
      </c>
      <c r="F48" s="42">
        <f t="shared" si="13"/>
        <v>9.7583728339056819E-4</v>
      </c>
      <c r="G48" s="42">
        <f t="shared" si="18"/>
        <v>1.0449601794399873E-3</v>
      </c>
      <c r="H48" s="42">
        <f t="shared" si="19"/>
        <v>-5.71258104265325</v>
      </c>
      <c r="I48" s="43">
        <f t="shared" si="14"/>
        <v>-6.9122896049655935E-5</v>
      </c>
      <c r="J48" s="35"/>
      <c r="K48" s="35"/>
      <c r="L48" s="35"/>
      <c r="M48" s="35"/>
      <c r="N48" s="37"/>
      <c r="O48" s="37"/>
    </row>
    <row r="49" spans="1:15" x14ac:dyDescent="0.25">
      <c r="A49" s="41">
        <f t="shared" si="15"/>
        <v>32</v>
      </c>
      <c r="B49" s="42">
        <v>0.40625</v>
      </c>
      <c r="C49" s="42">
        <v>-5.7127102117625697</v>
      </c>
      <c r="D49" s="42">
        <f t="shared" si="16"/>
        <v>16.251437521994784</v>
      </c>
      <c r="E49" s="42">
        <f t="shared" si="17"/>
        <v>17.264012644712832</v>
      </c>
      <c r="F49" s="42">
        <f t="shared" si="13"/>
        <v>6.0046213270048554E-5</v>
      </c>
      <c r="G49" s="42">
        <f t="shared" si="18"/>
        <v>6.1052738008034646E-5</v>
      </c>
      <c r="H49" s="42">
        <f t="shared" si="19"/>
        <v>-5.7126491590245614</v>
      </c>
      <c r="I49" s="43">
        <f t="shared" si="14"/>
        <v>-1.0065247382229359E-6</v>
      </c>
      <c r="J49" s="35"/>
      <c r="K49" s="35"/>
      <c r="L49" s="35"/>
      <c r="M49" s="35"/>
      <c r="N49" s="37"/>
      <c r="O49" s="37"/>
    </row>
    <row r="50" spans="1:15" x14ac:dyDescent="0.25">
      <c r="A50" s="41">
        <f t="shared" si="15"/>
        <v>64</v>
      </c>
      <c r="B50" s="42">
        <v>0.203125</v>
      </c>
      <c r="C50" s="42">
        <v>-5.7126539039441901</v>
      </c>
      <c r="D50" s="42">
        <f t="shared" si="16"/>
        <v>16.06203063833474</v>
      </c>
      <c r="E50" s="42">
        <f t="shared" si="17"/>
        <v>17.065132405823281</v>
      </c>
      <c r="F50" s="42">
        <f t="shared" si="13"/>
        <v>3.7383948905400644E-6</v>
      </c>
      <c r="G50" s="42">
        <f t="shared" si="18"/>
        <v>3.7538545586338994E-6</v>
      </c>
      <c r="H50" s="42">
        <f t="shared" si="19"/>
        <v>-5.7126501500896314</v>
      </c>
      <c r="I50" s="43">
        <f t="shared" si="14"/>
        <v>-1.5459668212258748E-8</v>
      </c>
      <c r="J50" s="35"/>
      <c r="K50" s="35"/>
      <c r="L50" s="35"/>
      <c r="M50" s="35"/>
      <c r="N50" s="37"/>
      <c r="O50" s="37"/>
    </row>
    <row r="51" spans="1:15" x14ac:dyDescent="0.25">
      <c r="A51" s="41">
        <f t="shared" si="15"/>
        <v>128</v>
      </c>
      <c r="B51" s="42">
        <v>0.1015625</v>
      </c>
      <c r="C51" s="42">
        <v>-5.7126503989734898</v>
      </c>
      <c r="D51" s="42">
        <f t="shared" si="16"/>
        <v>16.015456184515948</v>
      </c>
      <c r="E51" s="42">
        <f t="shared" si="17"/>
        <v>17.016229625936003</v>
      </c>
      <c r="F51" s="42">
        <f t="shared" si="13"/>
        <v>2.3342419019911631E-7</v>
      </c>
      <c r="G51" s="42">
        <f t="shared" si="18"/>
        <v>2.336647133560632E-7</v>
      </c>
      <c r="H51" s="42">
        <f t="shared" si="19"/>
        <v>-5.7126501653087765</v>
      </c>
      <c r="I51" s="43">
        <f t="shared" si="14"/>
        <v>-2.4052315694689241E-10</v>
      </c>
      <c r="J51" s="35"/>
      <c r="K51" s="35"/>
      <c r="L51" s="35"/>
      <c r="M51" s="35"/>
      <c r="N51" s="37"/>
      <c r="O51" s="37"/>
    </row>
    <row r="52" spans="1:15" x14ac:dyDescent="0.25">
      <c r="A52" s="41">
        <f t="shared" si="15"/>
        <v>256</v>
      </c>
      <c r="B52" s="42">
        <v>5.078125E-2</v>
      </c>
      <c r="C52" s="42">
        <v>-5.7126501801348004</v>
      </c>
      <c r="D52" s="42">
        <f t="shared" si="16"/>
        <v>16.003851584240326</v>
      </c>
      <c r="E52" s="42">
        <f t="shared" si="17"/>
        <v>17.004045594849043</v>
      </c>
      <c r="F52" s="42">
        <f t="shared" si="13"/>
        <v>1.4585500807129392E-8</v>
      </c>
      <c r="G52" s="42">
        <f t="shared" si="18"/>
        <v>1.4589245959465794E-8</v>
      </c>
      <c r="H52" s="42">
        <f t="shared" si="19"/>
        <v>-5.7126501655455542</v>
      </c>
      <c r="I52" s="43">
        <f t="shared" si="14"/>
        <v>-3.7454483958754281E-12</v>
      </c>
      <c r="J52" s="35"/>
      <c r="K52" s="35"/>
      <c r="L52" s="35"/>
      <c r="M52" s="35"/>
      <c r="N52" s="37"/>
      <c r="O52" s="37"/>
    </row>
    <row r="53" spans="1:15" x14ac:dyDescent="0.25">
      <c r="A53" s="41">
        <f t="shared" si="15"/>
        <v>512</v>
      </c>
      <c r="B53" s="42">
        <v>2.5390625E-2</v>
      </c>
      <c r="C53" s="42">
        <v>-5.7126501664608398</v>
      </c>
      <c r="D53" s="42">
        <f t="shared" si="16"/>
        <v>16.000941242498559</v>
      </c>
      <c r="E53" s="42">
        <f t="shared" si="17"/>
        <v>17.00098840109753</v>
      </c>
      <c r="F53" s="42">
        <f t="shared" si="13"/>
        <v>9.1154017667349763E-10</v>
      </c>
      <c r="G53" s="42">
        <f t="shared" si="18"/>
        <v>9.1159737536372634E-10</v>
      </c>
      <c r="H53" s="42">
        <f t="shared" si="19"/>
        <v>-5.7126501655492428</v>
      </c>
      <c r="I53" s="43">
        <f t="shared" si="14"/>
        <v>-5.6843418860808015E-14</v>
      </c>
      <c r="J53" s="35"/>
      <c r="K53" s="35"/>
      <c r="L53" s="35"/>
      <c r="M53" s="35"/>
      <c r="N53" s="37"/>
      <c r="O53" s="37"/>
    </row>
    <row r="54" spans="1:15" x14ac:dyDescent="0.25">
      <c r="A54" s="41">
        <f t="shared" si="15"/>
        <v>1024</v>
      </c>
      <c r="B54" s="42">
        <v>1.26953125E-2</v>
      </c>
      <c r="C54" s="42">
        <v>-5.71265016560627</v>
      </c>
      <c r="D54" s="42">
        <f t="shared" si="16"/>
        <v>16.000233852485852</v>
      </c>
      <c r="E54" s="42">
        <f t="shared" si="17"/>
        <v>17.003193453420486</v>
      </c>
      <c r="F54" s="42">
        <f t="shared" si="13"/>
        <v>5.6970428374825133E-11</v>
      </c>
      <c r="G54" s="42">
        <f t="shared" si="18"/>
        <v>5.6971316553244833E-11</v>
      </c>
      <c r="H54" s="42">
        <f t="shared" si="19"/>
        <v>-5.7126501655492987</v>
      </c>
      <c r="I54" s="43">
        <f t="shared" si="14"/>
        <v>0</v>
      </c>
      <c r="J54" s="35"/>
      <c r="K54" s="35"/>
      <c r="L54" s="35"/>
      <c r="M54" s="35"/>
      <c r="N54" s="37"/>
      <c r="O54" s="37"/>
    </row>
    <row r="55" spans="1:15" x14ac:dyDescent="0.25">
      <c r="A55" s="41">
        <f t="shared" si="15"/>
        <v>2048</v>
      </c>
      <c r="B55" s="42">
        <v>6.34765625E-3</v>
      </c>
      <c r="C55" s="42">
        <v>-5.7126501655528701</v>
      </c>
      <c r="D55" s="42">
        <f t="shared" si="16"/>
        <v>15.955970149253732</v>
      </c>
      <c r="E55" s="42">
        <f t="shared" si="17"/>
        <v>17.084269662921347</v>
      </c>
      <c r="F55" s="42">
        <f t="shared" si="13"/>
        <v>3.5704772471945034E-12</v>
      </c>
      <c r="G55" s="42">
        <f t="shared" si="18"/>
        <v>3.5599967418420418E-12</v>
      </c>
      <c r="H55" s="42">
        <f t="shared" si="19"/>
        <v>-5.7126501655493103</v>
      </c>
      <c r="I55" s="43">
        <f t="shared" si="14"/>
        <v>1.0658141036401503E-14</v>
      </c>
      <c r="J55" s="35"/>
      <c r="K55" s="35"/>
      <c r="L55" s="35"/>
      <c r="M55" s="35"/>
      <c r="N55" s="37"/>
      <c r="O55" s="37"/>
    </row>
    <row r="56" spans="1:15" x14ac:dyDescent="0.25">
      <c r="A56" s="41">
        <f t="shared" si="15"/>
        <v>4096</v>
      </c>
      <c r="B56" s="42">
        <v>3.173828125E-3</v>
      </c>
      <c r="C56" s="42">
        <v>-5.7126501655495501</v>
      </c>
      <c r="D56" s="42">
        <f t="shared" si="16"/>
        <v>14.25531914893617</v>
      </c>
      <c r="E56" s="42">
        <f t="shared" si="17"/>
        <v>14.844444444444445</v>
      </c>
      <c r="F56" s="42">
        <f t="shared" si="13"/>
        <v>2.5046631435543532E-13</v>
      </c>
      <c r="G56" s="42">
        <f t="shared" si="18"/>
        <v>2.213340621892712E-13</v>
      </c>
      <c r="H56" s="42">
        <f t="shared" si="19"/>
        <v>-5.7126501655493289</v>
      </c>
      <c r="I56" s="43">
        <f t="shared" si="14"/>
        <v>2.9309887850104133E-14</v>
      </c>
      <c r="J56" s="35"/>
      <c r="K56" s="35"/>
      <c r="L56" s="35"/>
      <c r="M56" s="35"/>
      <c r="N56" s="37"/>
      <c r="O56" s="37"/>
    </row>
    <row r="57" spans="1:15" x14ac:dyDescent="0.25">
      <c r="A57" s="41">
        <f t="shared" si="15"/>
        <v>8192</v>
      </c>
      <c r="B57" s="42">
        <v>1.5869140625E-3</v>
      </c>
      <c r="C57" s="42">
        <v>-5.7126501655493103</v>
      </c>
      <c r="D57" s="42">
        <f t="shared" si="16"/>
        <v>23.5</v>
      </c>
      <c r="E57" s="42">
        <f t="shared" si="17"/>
        <v>-23.545454545454547</v>
      </c>
      <c r="F57" s="42">
        <f t="shared" si="13"/>
        <v>1.0658141036401503E-14</v>
      </c>
      <c r="G57" s="42">
        <f t="shared" si="18"/>
        <v>1.5987211554602254E-14</v>
      </c>
      <c r="H57" s="42">
        <f t="shared" si="19"/>
        <v>-5.7126501655492943</v>
      </c>
      <c r="I57" s="43">
        <f t="shared" si="14"/>
        <v>0</v>
      </c>
      <c r="J57" s="35"/>
      <c r="K57" s="35"/>
      <c r="L57" s="35"/>
      <c r="M57" s="35"/>
      <c r="N57" s="37"/>
      <c r="O57" s="37"/>
    </row>
    <row r="58" spans="1:15" x14ac:dyDescent="0.25">
      <c r="A58" s="41">
        <f t="shared" si="15"/>
        <v>16384</v>
      </c>
      <c r="B58" s="42">
        <v>7.9345703125E-4</v>
      </c>
      <c r="C58" s="42">
        <v>-5.71265016554932</v>
      </c>
      <c r="D58" s="42">
        <f t="shared" si="16"/>
        <v>0.52173913043478259</v>
      </c>
      <c r="E58" s="42">
        <f t="shared" si="17"/>
        <v>0.52173913043478259</v>
      </c>
      <c r="F58" s="42">
        <f t="shared" si="13"/>
        <v>2.042810365310288E-14</v>
      </c>
      <c r="G58" s="42">
        <f t="shared" si="18"/>
        <v>-6.5133084111342512E-16</v>
      </c>
      <c r="H58" s="42">
        <f t="shared" si="19"/>
        <v>-5.7126501655493209</v>
      </c>
      <c r="I58" s="43">
        <f t="shared" si="14"/>
        <v>2.1316282072803006E-14</v>
      </c>
      <c r="J58" s="35"/>
      <c r="K58" s="35"/>
      <c r="L58" s="35"/>
      <c r="M58" s="35"/>
      <c r="N58" s="37"/>
      <c r="O58" s="37"/>
    </row>
    <row r="59" spans="1:15" x14ac:dyDescent="0.25">
      <c r="A59" s="41">
        <f t="shared" si="15"/>
        <v>32768</v>
      </c>
      <c r="B59" s="42">
        <v>3.96728515625E-4</v>
      </c>
      <c r="C59" s="42">
        <v>-5.7126501655492996</v>
      </c>
      <c r="D59" s="42" t="e">
        <f t="shared" si="16"/>
        <v>#DIV/0!</v>
      </c>
      <c r="E59" s="42">
        <f t="shared" si="17"/>
        <v>1.696969696969697</v>
      </c>
      <c r="F59" s="42">
        <f t="shared" si="13"/>
        <v>0</v>
      </c>
      <c r="G59" s="42">
        <f t="shared" si="18"/>
        <v>1.3618735768735254E-15</v>
      </c>
      <c r="H59" s="42">
        <f t="shared" si="19"/>
        <v>-5.7126501655492978</v>
      </c>
      <c r="I59" s="43">
        <f t="shared" si="14"/>
        <v>0</v>
      </c>
      <c r="J59" s="35"/>
      <c r="K59" s="35"/>
      <c r="L59" s="35"/>
      <c r="M59" s="35"/>
      <c r="N59" s="37"/>
      <c r="O59" s="37"/>
    </row>
    <row r="60" spans="1:15" x14ac:dyDescent="0.25">
      <c r="A60" s="41">
        <f t="shared" si="15"/>
        <v>65536</v>
      </c>
      <c r="B60" s="42">
        <v>1.983642578125E-4</v>
      </c>
      <c r="C60" s="42">
        <v>-5.7126501655492703</v>
      </c>
      <c r="D60" s="42">
        <f t="shared" si="16"/>
        <v>0</v>
      </c>
      <c r="E60" s="42">
        <f t="shared" si="17"/>
        <v>3.75</v>
      </c>
      <c r="F60" s="42">
        <f t="shared" si="13"/>
        <v>-2.9309887850104133E-14</v>
      </c>
      <c r="G60" s="42">
        <f t="shared" si="18"/>
        <v>1.9539925233402757E-15</v>
      </c>
      <c r="H60" s="42">
        <f t="shared" si="19"/>
        <v>-5.7126501655492685</v>
      </c>
      <c r="I60" s="43">
        <f t="shared" si="14"/>
        <v>-3.1086244689504383E-14</v>
      </c>
      <c r="J60" s="35"/>
      <c r="K60" s="35"/>
      <c r="L60" s="35"/>
      <c r="M60" s="35"/>
      <c r="N60" s="37"/>
      <c r="O60" s="37"/>
    </row>
    <row r="61" spans="1:15" x14ac:dyDescent="0.25">
      <c r="A61" s="41">
        <f t="shared" si="15"/>
        <v>131072</v>
      </c>
      <c r="B61" s="42">
        <v>9.918212890625E-5</v>
      </c>
      <c r="C61" s="42">
        <v>-5.7126501655492596</v>
      </c>
      <c r="D61" s="42">
        <f t="shared" si="16"/>
        <v>0.73333333333333328</v>
      </c>
      <c r="E61" s="42">
        <f t="shared" si="17"/>
        <v>0.93370165745856348</v>
      </c>
      <c r="F61" s="42">
        <f t="shared" si="13"/>
        <v>-3.9968028886505635E-14</v>
      </c>
      <c r="G61" s="42">
        <f t="shared" si="18"/>
        <v>7.1054273576010023E-16</v>
      </c>
      <c r="H61" s="42">
        <f t="shared" si="19"/>
        <v>-5.7126501655492588</v>
      </c>
      <c r="I61" s="43">
        <f t="shared" si="14"/>
        <v>-4.0856207306205761E-14</v>
      </c>
      <c r="J61" s="35"/>
      <c r="K61" s="35"/>
      <c r="L61" s="35"/>
      <c r="M61" s="35"/>
      <c r="N61" s="37"/>
      <c r="O61" s="37"/>
    </row>
    <row r="62" spans="1:15" ht="15.75" thickBot="1" x14ac:dyDescent="0.3">
      <c r="A62" s="44">
        <f t="shared" si="15"/>
        <v>262144</v>
      </c>
      <c r="B62" s="45">
        <v>4.9591064453125E-5</v>
      </c>
      <c r="C62" s="45">
        <v>-5.7126501655494204</v>
      </c>
      <c r="D62" s="45">
        <f t="shared" si="16"/>
        <v>-0.33088235294117646</v>
      </c>
      <c r="E62" s="45">
        <f t="shared" si="17"/>
        <v>0.99999999999997191</v>
      </c>
      <c r="F62" s="45">
        <f t="shared" si="13"/>
        <v>1.2079226507921703E-13</v>
      </c>
      <c r="G62" s="45">
        <f t="shared" si="18"/>
        <v>-1.0717352931048178E-14</v>
      </c>
      <c r="H62" s="45">
        <f t="shared" si="19"/>
        <v>-5.7126501655494311</v>
      </c>
      <c r="I62" s="46">
        <f t="shared" si="14"/>
        <v>1.3145040611561853E-13</v>
      </c>
      <c r="J62" s="35"/>
      <c r="K62" s="35"/>
      <c r="L62" s="35"/>
      <c r="M62" s="35"/>
      <c r="N62" s="37"/>
      <c r="O62" s="37"/>
    </row>
    <row r="63" spans="1:15" x14ac:dyDescent="0.25">
      <c r="A63" s="47"/>
      <c r="B63" s="48"/>
      <c r="C63" s="48"/>
      <c r="D63" s="48"/>
      <c r="E63" s="48"/>
      <c r="F63" s="48"/>
      <c r="G63" s="48"/>
      <c r="H63" s="48"/>
      <c r="I63" s="48"/>
      <c r="J63" s="35"/>
      <c r="K63" s="35"/>
      <c r="L63" s="35"/>
      <c r="M63" s="35"/>
      <c r="N63" s="37"/>
      <c r="O63" s="37"/>
    </row>
    <row r="64" spans="1:15" x14ac:dyDescent="0.25">
      <c r="A64" s="47"/>
      <c r="B64" s="48"/>
      <c r="C64" s="48"/>
      <c r="D64" s="48"/>
      <c r="E64" s="48"/>
      <c r="F64" s="48"/>
      <c r="G64" s="48"/>
      <c r="H64" s="48"/>
      <c r="I64" s="48"/>
      <c r="J64" s="35"/>
      <c r="K64" s="35"/>
      <c r="L64" s="35"/>
      <c r="M64" s="35"/>
      <c r="N64" s="37"/>
      <c r="O64" s="37"/>
    </row>
    <row r="65" spans="1:15" ht="15.75" thickBot="1" x14ac:dyDescent="0.3">
      <c r="A65" s="47"/>
      <c r="B65" s="48"/>
      <c r="C65" s="48"/>
      <c r="D65" s="48"/>
      <c r="E65" s="48"/>
      <c r="F65" s="48"/>
      <c r="G65" s="48"/>
      <c r="H65" s="48"/>
      <c r="I65" s="48"/>
      <c r="J65" s="35"/>
      <c r="K65" s="35"/>
      <c r="L65" s="35"/>
      <c r="M65" s="35"/>
      <c r="N65" s="37"/>
      <c r="O65" s="37"/>
    </row>
    <row r="66" spans="1:15" x14ac:dyDescent="0.25">
      <c r="A66" s="68" t="s">
        <v>51</v>
      </c>
      <c r="B66" s="69"/>
      <c r="C66" s="69"/>
      <c r="D66" s="69"/>
      <c r="E66" s="69"/>
      <c r="F66" s="69"/>
      <c r="G66" s="69"/>
      <c r="H66" s="69"/>
      <c r="I66" s="70"/>
      <c r="J66" s="35"/>
      <c r="K66" s="35"/>
      <c r="L66" s="35"/>
      <c r="M66" s="35"/>
      <c r="N66" s="37"/>
      <c r="O66" s="37"/>
    </row>
    <row r="67" spans="1:15" x14ac:dyDescent="0.25">
      <c r="A67" s="71" t="s">
        <v>41</v>
      </c>
      <c r="B67" s="72"/>
      <c r="C67" s="72"/>
      <c r="D67" s="72"/>
      <c r="E67" s="72"/>
      <c r="F67" s="72"/>
      <c r="G67" s="72"/>
      <c r="H67" s="72"/>
      <c r="I67" s="73"/>
      <c r="J67" s="37"/>
      <c r="K67" s="37"/>
      <c r="L67" s="37"/>
      <c r="M67" s="37"/>
      <c r="N67" s="37"/>
      <c r="O67" s="37"/>
    </row>
    <row r="68" spans="1:15" x14ac:dyDescent="0.25">
      <c r="A68" s="71" t="s">
        <v>42</v>
      </c>
      <c r="B68" s="72"/>
      <c r="C68" s="72"/>
      <c r="D68" s="72"/>
      <c r="E68" s="72"/>
      <c r="F68" s="72"/>
      <c r="G68" s="72"/>
      <c r="H68" s="72"/>
      <c r="I68" s="73"/>
      <c r="J68" s="37"/>
      <c r="K68" s="37"/>
      <c r="L68" s="37"/>
      <c r="M68" s="37"/>
      <c r="N68" s="37"/>
      <c r="O68" s="37"/>
    </row>
    <row r="69" spans="1:15" x14ac:dyDescent="0.25">
      <c r="A69" s="71" t="s">
        <v>50</v>
      </c>
      <c r="B69" s="72"/>
      <c r="C69" s="72"/>
      <c r="D69" s="72"/>
      <c r="E69" s="72"/>
      <c r="F69" s="72"/>
      <c r="G69" s="72"/>
      <c r="H69" s="72"/>
      <c r="I69" s="73"/>
      <c r="J69" s="37"/>
      <c r="K69" s="37"/>
      <c r="L69" s="37"/>
      <c r="M69" s="37"/>
      <c r="N69" s="37"/>
      <c r="O69" s="37"/>
    </row>
    <row r="70" spans="1:15" ht="124.5" customHeight="1" x14ac:dyDescent="0.25">
      <c r="A70" s="14" t="s">
        <v>3</v>
      </c>
      <c r="B70" s="13" t="s">
        <v>31</v>
      </c>
      <c r="C70" s="13" t="s">
        <v>4</v>
      </c>
      <c r="D70" s="13" t="s">
        <v>11</v>
      </c>
      <c r="E70" s="13" t="s">
        <v>32</v>
      </c>
      <c r="F70" s="13" t="s">
        <v>5</v>
      </c>
      <c r="G70" s="13" t="s">
        <v>6</v>
      </c>
      <c r="H70" s="13" t="s">
        <v>7</v>
      </c>
      <c r="I70" s="15" t="s">
        <v>8</v>
      </c>
      <c r="J70" s="37"/>
      <c r="K70" s="37"/>
      <c r="L70" s="37"/>
      <c r="M70" s="37"/>
      <c r="N70" s="37"/>
      <c r="O70" s="37"/>
    </row>
    <row r="71" spans="1:15" x14ac:dyDescent="0.25">
      <c r="A71" s="16" t="s">
        <v>9</v>
      </c>
      <c r="B71" s="5" t="s">
        <v>33</v>
      </c>
      <c r="C71" s="5" t="s">
        <v>20</v>
      </c>
      <c r="D71" s="5" t="s">
        <v>21</v>
      </c>
      <c r="E71" s="5" t="s">
        <v>34</v>
      </c>
      <c r="F71" s="12" t="s">
        <v>22</v>
      </c>
      <c r="G71" s="23" t="s">
        <v>52</v>
      </c>
      <c r="H71" s="12" t="s">
        <v>23</v>
      </c>
      <c r="I71" s="6" t="s">
        <v>24</v>
      </c>
      <c r="J71" s="37"/>
      <c r="K71" s="37"/>
      <c r="L71" s="37"/>
      <c r="M71" s="37"/>
      <c r="N71" s="37"/>
      <c r="O71" s="37"/>
    </row>
    <row r="72" spans="1:15" x14ac:dyDescent="0.25">
      <c r="A72" s="41">
        <v>1</v>
      </c>
      <c r="B72" s="42">
        <v>13</v>
      </c>
      <c r="C72" s="42">
        <v>15.259480941057699</v>
      </c>
      <c r="D72" s="21" t="s">
        <v>30</v>
      </c>
      <c r="E72" s="21" t="s">
        <v>30</v>
      </c>
      <c r="F72" s="42">
        <f t="shared" ref="F72:F91" si="20">$M$3-C72</f>
        <v>-20.972131106606998</v>
      </c>
      <c r="G72" s="21" t="s">
        <v>30</v>
      </c>
      <c r="H72" s="21" t="s">
        <v>30</v>
      </c>
      <c r="I72" s="22" t="s">
        <v>30</v>
      </c>
      <c r="J72" s="37"/>
      <c r="K72" s="37"/>
      <c r="L72" s="37"/>
      <c r="M72" s="37"/>
      <c r="N72" s="37"/>
      <c r="O72" s="37"/>
    </row>
    <row r="73" spans="1:15" x14ac:dyDescent="0.25">
      <c r="A73" s="41">
        <f t="shared" ref="A73:A91" si="21">A72*2</f>
        <v>2</v>
      </c>
      <c r="B73" s="42">
        <v>6.5</v>
      </c>
      <c r="C73" s="42">
        <v>1.3320311665845399</v>
      </c>
      <c r="D73" s="42">
        <f t="shared" ref="D73:D91" si="22">F72/F73</f>
        <v>2.9770162932628388</v>
      </c>
      <c r="E73" s="42">
        <f t="shared" ref="E73:E90" si="23">(C74-C72)/(C74-C73)</f>
        <v>2.9350151897514798</v>
      </c>
      <c r="F73" s="42">
        <f t="shared" si="20"/>
        <v>-7.0446813321338393</v>
      </c>
      <c r="G73" s="42">
        <f>(C73-C72)/15</f>
        <v>-0.92849665163154393</v>
      </c>
      <c r="H73" s="42">
        <f t="shared" ref="H73:H91" si="24">C73+G73</f>
        <v>0.40353451495299597</v>
      </c>
      <c r="I73" s="43">
        <f t="shared" ref="I73:I91" si="25">$M$3-H73</f>
        <v>-6.1161846805022959</v>
      </c>
      <c r="J73" s="37"/>
      <c r="K73" s="37"/>
      <c r="L73" s="37"/>
      <c r="M73" s="37"/>
      <c r="N73" s="37"/>
      <c r="O73" s="37"/>
    </row>
    <row r="74" spans="1:15" x14ac:dyDescent="0.25">
      <c r="A74" s="41">
        <f t="shared" si="21"/>
        <v>4</v>
      </c>
      <c r="B74" s="42">
        <v>3.25</v>
      </c>
      <c r="C74" s="42">
        <v>-5.8655607945730903</v>
      </c>
      <c r="D74" s="42">
        <f t="shared" si="22"/>
        <v>-46.070579770081174</v>
      </c>
      <c r="E74" s="42">
        <f t="shared" si="23"/>
        <v>-48.441133870547226</v>
      </c>
      <c r="F74" s="42">
        <f t="shared" si="20"/>
        <v>0.15291062902379071</v>
      </c>
      <c r="G74" s="42">
        <f t="shared" ref="G74:G91" si="26">(C74-C73)/15</f>
        <v>-0.47983946407717532</v>
      </c>
      <c r="H74" s="42">
        <f t="shared" si="24"/>
        <v>-6.3454002586502654</v>
      </c>
      <c r="I74" s="43">
        <f t="shared" si="25"/>
        <v>0.63275009310096575</v>
      </c>
      <c r="J74" s="37"/>
      <c r="K74" s="37"/>
      <c r="L74" s="37"/>
      <c r="M74" s="37"/>
      <c r="N74" s="37"/>
      <c r="O74" s="37"/>
    </row>
    <row r="75" spans="1:15" x14ac:dyDescent="0.25">
      <c r="A75" s="41">
        <f t="shared" si="21"/>
        <v>8</v>
      </c>
      <c r="B75" s="42">
        <v>1.625</v>
      </c>
      <c r="C75" s="42">
        <v>-5.7199817716485102</v>
      </c>
      <c r="D75" s="42">
        <f t="shared" si="22"/>
        <v>20.856361751384224</v>
      </c>
      <c r="E75" s="42">
        <f t="shared" si="23"/>
        <v>22.101786707815776</v>
      </c>
      <c r="F75" s="42">
        <f t="shared" si="20"/>
        <v>7.3316060992105747E-3</v>
      </c>
      <c r="G75" s="42">
        <f t="shared" si="26"/>
        <v>9.7052681949720086E-3</v>
      </c>
      <c r="H75" s="42">
        <f t="shared" si="24"/>
        <v>-5.7102765034535379</v>
      </c>
      <c r="I75" s="43">
        <f t="shared" si="25"/>
        <v>-2.3736620957617305E-3</v>
      </c>
      <c r="J75" s="37"/>
      <c r="K75" s="37"/>
      <c r="L75" s="37"/>
      <c r="M75" s="37"/>
      <c r="N75" s="37"/>
      <c r="O75" s="37"/>
    </row>
    <row r="76" spans="1:15" x14ac:dyDescent="0.25">
      <c r="A76" s="41">
        <f t="shared" si="21"/>
        <v>16</v>
      </c>
      <c r="B76" s="42">
        <v>0.8125</v>
      </c>
      <c r="C76" s="42">
        <v>-5.7130828760743899</v>
      </c>
      <c r="D76" s="42">
        <f t="shared" si="22"/>
        <v>16.943442958038649</v>
      </c>
      <c r="E76" s="42">
        <f t="shared" si="23"/>
        <v>17.990738623043686</v>
      </c>
      <c r="F76" s="42">
        <f t="shared" si="20"/>
        <v>4.3271052509030739E-4</v>
      </c>
      <c r="G76" s="42">
        <f t="shared" si="26"/>
        <v>4.5992637160801784E-4</v>
      </c>
      <c r="H76" s="42">
        <f t="shared" si="24"/>
        <v>-5.7126229497027818</v>
      </c>
      <c r="I76" s="43">
        <f t="shared" si="25"/>
        <v>-2.7215846517769648E-5</v>
      </c>
      <c r="J76" s="37"/>
      <c r="K76" s="37"/>
      <c r="L76" s="37"/>
      <c r="M76" s="37"/>
      <c r="N76" s="37"/>
      <c r="O76" s="37"/>
    </row>
    <row r="77" spans="1:15" x14ac:dyDescent="0.25">
      <c r="A77" s="41">
        <f t="shared" si="21"/>
        <v>32</v>
      </c>
      <c r="B77" s="42">
        <v>0.40625</v>
      </c>
      <c r="C77" s="42">
        <v>-5.7126768374831798</v>
      </c>
      <c r="D77" s="42">
        <f t="shared" si="22"/>
        <v>16.223440228755255</v>
      </c>
      <c r="E77" s="42">
        <f t="shared" si="23"/>
        <v>17.234619512138288</v>
      </c>
      <c r="F77" s="42">
        <f t="shared" si="20"/>
        <v>2.6671933880173526E-5</v>
      </c>
      <c r="G77" s="42">
        <f t="shared" si="26"/>
        <v>2.7069239414008923E-5</v>
      </c>
      <c r="H77" s="42">
        <f t="shared" si="24"/>
        <v>-5.7126497682437654</v>
      </c>
      <c r="I77" s="43">
        <f t="shared" si="25"/>
        <v>-3.9730553424988102E-7</v>
      </c>
      <c r="J77" s="37"/>
      <c r="K77" s="37"/>
      <c r="L77" s="37"/>
      <c r="M77" s="37"/>
      <c r="N77" s="37"/>
      <c r="O77" s="37"/>
    </row>
    <row r="78" spans="1:15" x14ac:dyDescent="0.25">
      <c r="A78" s="41">
        <f t="shared" si="21"/>
        <v>64</v>
      </c>
      <c r="B78" s="42">
        <v>0.203125</v>
      </c>
      <c r="C78" s="42">
        <v>-5.7126518268205704</v>
      </c>
      <c r="D78" s="42">
        <f t="shared" si="22"/>
        <v>16.055134612551825</v>
      </c>
      <c r="E78" s="42">
        <f t="shared" si="23"/>
        <v>17.057891865482826</v>
      </c>
      <c r="F78" s="42">
        <f t="shared" si="20"/>
        <v>1.6612712707697597E-6</v>
      </c>
      <c r="G78" s="42">
        <f t="shared" si="26"/>
        <v>1.6673775072935845E-6</v>
      </c>
      <c r="H78" s="42">
        <f t="shared" si="24"/>
        <v>-5.7126501594430632</v>
      </c>
      <c r="I78" s="43">
        <f t="shared" si="25"/>
        <v>-6.1062364054009777E-9</v>
      </c>
      <c r="J78" s="37"/>
      <c r="K78" s="37"/>
      <c r="L78" s="37"/>
      <c r="M78" s="37"/>
      <c r="N78" s="37"/>
      <c r="O78" s="37"/>
    </row>
    <row r="79" spans="1:15" x14ac:dyDescent="0.25">
      <c r="A79" s="41">
        <f t="shared" si="21"/>
        <v>128</v>
      </c>
      <c r="B79" s="42">
        <v>0.1015625</v>
      </c>
      <c r="C79" s="42">
        <v>-5.7126502692896803</v>
      </c>
      <c r="D79" s="42">
        <f t="shared" si="22"/>
        <v>16.013737939612565</v>
      </c>
      <c r="E79" s="42">
        <f t="shared" si="23"/>
        <v>17.014426047079983</v>
      </c>
      <c r="F79" s="42">
        <f t="shared" si="20"/>
        <v>1.0374038073024394E-7</v>
      </c>
      <c r="G79" s="42">
        <f t="shared" si="26"/>
        <v>1.0383539266930105E-7</v>
      </c>
      <c r="H79" s="42">
        <f t="shared" si="24"/>
        <v>-5.7126501654542876</v>
      </c>
      <c r="I79" s="43">
        <f t="shared" si="25"/>
        <v>-9.5011998269001197E-11</v>
      </c>
      <c r="J79" s="37"/>
      <c r="K79" s="37"/>
      <c r="L79" s="37"/>
      <c r="M79" s="37"/>
      <c r="N79" s="37"/>
      <c r="O79" s="37"/>
    </row>
    <row r="80" spans="1:15" x14ac:dyDescent="0.25">
      <c r="A80" s="41">
        <f t="shared" si="21"/>
        <v>256</v>
      </c>
      <c r="B80" s="42">
        <v>5.078125E-2</v>
      </c>
      <c r="C80" s="42">
        <v>-5.7126501720316902</v>
      </c>
      <c r="D80" s="42">
        <f t="shared" si="22"/>
        <v>16.003413978417278</v>
      </c>
      <c r="E80" s="42">
        <f t="shared" si="23"/>
        <v>17.003618918869545</v>
      </c>
      <c r="F80" s="42">
        <f t="shared" si="20"/>
        <v>6.4823906242850171E-9</v>
      </c>
      <c r="G80" s="42">
        <f t="shared" si="26"/>
        <v>6.4838660070639287E-9</v>
      </c>
      <c r="H80" s="42">
        <f t="shared" si="24"/>
        <v>-5.7126501655478243</v>
      </c>
      <c r="I80" s="43">
        <f t="shared" si="25"/>
        <v>-1.475264355121908E-12</v>
      </c>
      <c r="J80" s="37"/>
      <c r="K80" s="37"/>
      <c r="L80" s="37"/>
      <c r="M80" s="37"/>
      <c r="N80" s="37"/>
      <c r="O80" s="37"/>
    </row>
    <row r="81" spans="1:15" x14ac:dyDescent="0.25">
      <c r="A81" s="41">
        <f t="shared" si="21"/>
        <v>512</v>
      </c>
      <c r="B81" s="42">
        <v>2.5390625E-2</v>
      </c>
      <c r="C81" s="42">
        <v>-5.7126501659544404</v>
      </c>
      <c r="D81" s="42">
        <f t="shared" si="22"/>
        <v>16.000339801994091</v>
      </c>
      <c r="E81" s="42">
        <f t="shared" si="23"/>
        <v>17.000727265924436</v>
      </c>
      <c r="F81" s="42">
        <f t="shared" si="20"/>
        <v>4.0514080978937272E-10</v>
      </c>
      <c r="G81" s="42">
        <f t="shared" si="26"/>
        <v>4.0514998763304294E-10</v>
      </c>
      <c r="H81" s="42">
        <f t="shared" si="24"/>
        <v>-5.7126501655492907</v>
      </c>
      <c r="I81" s="43">
        <f t="shared" si="25"/>
        <v>-8.8817841970012523E-15</v>
      </c>
      <c r="J81" s="37"/>
      <c r="K81" s="37"/>
      <c r="L81" s="37"/>
      <c r="M81" s="37"/>
      <c r="N81" s="37"/>
      <c r="O81" s="37"/>
    </row>
    <row r="82" spans="1:15" x14ac:dyDescent="0.25">
      <c r="A82" s="41">
        <f t="shared" si="21"/>
        <v>1024</v>
      </c>
      <c r="B82" s="42">
        <v>1.26953125E-2</v>
      </c>
      <c r="C82" s="42">
        <v>-5.7126501655746296</v>
      </c>
      <c r="D82" s="42">
        <f t="shared" si="22"/>
        <v>15.994529962481153</v>
      </c>
      <c r="E82" s="42">
        <f t="shared" si="23"/>
        <v>17.005876408279374</v>
      </c>
      <c r="F82" s="42">
        <f t="shared" si="20"/>
        <v>2.5329960351427872E-11</v>
      </c>
      <c r="G82" s="42">
        <f t="shared" si="26"/>
        <v>2.5320723295862989E-11</v>
      </c>
      <c r="H82" s="42">
        <f t="shared" si="24"/>
        <v>-5.7126501655493085</v>
      </c>
      <c r="I82" s="43">
        <f t="shared" si="25"/>
        <v>8.8817841970012523E-15</v>
      </c>
      <c r="J82" s="37"/>
      <c r="K82" s="37"/>
      <c r="L82" s="37"/>
      <c r="M82" s="37"/>
      <c r="N82" s="37"/>
      <c r="O82" s="37"/>
    </row>
    <row r="83" spans="1:15" x14ac:dyDescent="0.25">
      <c r="A83" s="41">
        <f t="shared" si="21"/>
        <v>2048</v>
      </c>
      <c r="B83" s="42">
        <v>6.34765625E-3</v>
      </c>
      <c r="C83" s="42">
        <v>-5.7126501655509001</v>
      </c>
      <c r="D83" s="42">
        <f t="shared" si="22"/>
        <v>15.82630410654828</v>
      </c>
      <c r="E83" s="42">
        <f t="shared" si="23"/>
        <v>16.818235642391947</v>
      </c>
      <c r="F83" s="42">
        <f t="shared" si="20"/>
        <v>1.6004975122996257E-12</v>
      </c>
      <c r="G83" s="42">
        <f t="shared" si="26"/>
        <v>1.5819641892752165E-12</v>
      </c>
      <c r="H83" s="42">
        <f t="shared" si="24"/>
        <v>-5.7126501655493183</v>
      </c>
      <c r="I83" s="43">
        <f t="shared" si="25"/>
        <v>1.865174681370263E-14</v>
      </c>
      <c r="J83" s="37"/>
      <c r="K83" s="37"/>
      <c r="L83" s="37"/>
      <c r="M83" s="37"/>
      <c r="N83" s="37"/>
      <c r="O83" s="37"/>
    </row>
    <row r="84" spans="1:15" x14ac:dyDescent="0.25">
      <c r="A84" s="41">
        <f t="shared" si="21"/>
        <v>4096</v>
      </c>
      <c r="B84" s="42">
        <v>3.173828125E-3</v>
      </c>
      <c r="C84" s="42">
        <v>-5.7126501655494</v>
      </c>
      <c r="D84" s="42">
        <f t="shared" si="22"/>
        <v>15.946902654867257</v>
      </c>
      <c r="E84" s="42">
        <f t="shared" si="23"/>
        <v>15.946902654867257</v>
      </c>
      <c r="F84" s="42">
        <f t="shared" si="20"/>
        <v>1.0036416142611415E-13</v>
      </c>
      <c r="G84" s="42">
        <f t="shared" si="26"/>
        <v>1.000088900582341E-13</v>
      </c>
      <c r="H84" s="42">
        <f t="shared" si="24"/>
        <v>-5.7126501655492996</v>
      </c>
      <c r="I84" s="43">
        <f t="shared" si="25"/>
        <v>0</v>
      </c>
      <c r="J84" s="37"/>
      <c r="K84" s="37"/>
      <c r="L84" s="37"/>
      <c r="M84" s="37"/>
      <c r="N84" s="37"/>
      <c r="O84" s="37"/>
    </row>
    <row r="85" spans="1:15" x14ac:dyDescent="0.25">
      <c r="A85" s="41">
        <f t="shared" si="21"/>
        <v>8192</v>
      </c>
      <c r="B85" s="42">
        <v>1.5869140625E-3</v>
      </c>
      <c r="C85" s="42">
        <v>-5.7126501655492996</v>
      </c>
      <c r="D85" s="42" t="e">
        <f t="shared" si="22"/>
        <v>#DIV/0!</v>
      </c>
      <c r="E85" s="42">
        <f t="shared" si="23"/>
        <v>-3.9130434782608696</v>
      </c>
      <c r="F85" s="42">
        <f t="shared" si="20"/>
        <v>0</v>
      </c>
      <c r="G85" s="42">
        <f t="shared" si="26"/>
        <v>6.6909440950742766E-15</v>
      </c>
      <c r="H85" s="42">
        <f t="shared" si="24"/>
        <v>-5.7126501655492925</v>
      </c>
      <c r="I85" s="43">
        <f t="shared" si="25"/>
        <v>-7.1054273576010019E-15</v>
      </c>
      <c r="J85" s="37"/>
      <c r="K85" s="37"/>
      <c r="L85" s="37"/>
      <c r="M85" s="37"/>
      <c r="N85" s="37"/>
      <c r="O85" s="37"/>
    </row>
    <row r="86" spans="1:15" x14ac:dyDescent="0.25">
      <c r="A86" s="41">
        <f t="shared" si="21"/>
        <v>16384</v>
      </c>
      <c r="B86" s="42">
        <v>7.9345703125E-4</v>
      </c>
      <c r="C86" s="42">
        <v>-5.71265016554932</v>
      </c>
      <c r="D86" s="42">
        <f t="shared" si="22"/>
        <v>0</v>
      </c>
      <c r="E86" s="42">
        <f t="shared" si="23"/>
        <v>0</v>
      </c>
      <c r="F86" s="42">
        <f t="shared" si="20"/>
        <v>2.042810365310288E-14</v>
      </c>
      <c r="G86" s="42">
        <f t="shared" si="26"/>
        <v>-1.3618735768735254E-15</v>
      </c>
      <c r="H86" s="42">
        <f t="shared" si="24"/>
        <v>-5.7126501655493218</v>
      </c>
      <c r="I86" s="43">
        <f t="shared" si="25"/>
        <v>2.2204460492503131E-14</v>
      </c>
      <c r="J86" s="37"/>
      <c r="K86" s="37"/>
      <c r="L86" s="37"/>
      <c r="M86" s="37"/>
      <c r="N86" s="37"/>
      <c r="O86" s="37"/>
    </row>
    <row r="87" spans="1:15" x14ac:dyDescent="0.25">
      <c r="A87" s="41">
        <f t="shared" si="21"/>
        <v>32768</v>
      </c>
      <c r="B87" s="42">
        <v>3.96728515625E-4</v>
      </c>
      <c r="C87" s="42">
        <v>-5.7126501655492996</v>
      </c>
      <c r="D87" s="42" t="e">
        <f t="shared" si="22"/>
        <v>#DIV/0!</v>
      </c>
      <c r="E87" s="42">
        <f t="shared" si="23"/>
        <v>1.696969696969697</v>
      </c>
      <c r="F87" s="42">
        <f t="shared" si="20"/>
        <v>0</v>
      </c>
      <c r="G87" s="42">
        <f t="shared" si="26"/>
        <v>1.3618735768735254E-15</v>
      </c>
      <c r="H87" s="42">
        <f t="shared" si="24"/>
        <v>-5.7126501655492978</v>
      </c>
      <c r="I87" s="43">
        <f t="shared" si="25"/>
        <v>0</v>
      </c>
      <c r="J87" s="37"/>
      <c r="K87" s="37"/>
      <c r="L87" s="37"/>
      <c r="M87" s="37"/>
      <c r="N87" s="37"/>
      <c r="O87" s="37"/>
    </row>
    <row r="88" spans="1:15" x14ac:dyDescent="0.25">
      <c r="A88" s="41">
        <f t="shared" si="21"/>
        <v>65536</v>
      </c>
      <c r="B88" s="42">
        <v>1.983642578125E-4</v>
      </c>
      <c r="C88" s="42">
        <v>-5.7126501655492703</v>
      </c>
      <c r="D88" s="42">
        <f t="shared" si="22"/>
        <v>0</v>
      </c>
      <c r="E88" s="42">
        <f t="shared" si="23"/>
        <v>3.75</v>
      </c>
      <c r="F88" s="42">
        <f t="shared" si="20"/>
        <v>-2.9309887850104133E-14</v>
      </c>
      <c r="G88" s="42">
        <f t="shared" si="26"/>
        <v>1.9539925233402757E-15</v>
      </c>
      <c r="H88" s="42">
        <f t="shared" si="24"/>
        <v>-5.7126501655492685</v>
      </c>
      <c r="I88" s="43">
        <f t="shared" si="25"/>
        <v>-3.1086244689504383E-14</v>
      </c>
      <c r="J88" s="37"/>
      <c r="K88" s="37"/>
      <c r="L88" s="37"/>
      <c r="M88" s="37"/>
      <c r="N88" s="37"/>
      <c r="O88" s="37"/>
    </row>
    <row r="89" spans="1:15" x14ac:dyDescent="0.25">
      <c r="A89" s="41">
        <f t="shared" si="21"/>
        <v>131072</v>
      </c>
      <c r="B89" s="42">
        <v>9.918212890625E-5</v>
      </c>
      <c r="C89" s="42">
        <v>-5.7126501655492596</v>
      </c>
      <c r="D89" s="42">
        <f t="shared" si="22"/>
        <v>0.73333333333333328</v>
      </c>
      <c r="E89" s="42">
        <f t="shared" si="23"/>
        <v>0.93370165745856348</v>
      </c>
      <c r="F89" s="42">
        <f t="shared" si="20"/>
        <v>-3.9968028886505635E-14</v>
      </c>
      <c r="G89" s="42">
        <f t="shared" si="26"/>
        <v>7.1054273576010023E-16</v>
      </c>
      <c r="H89" s="42">
        <f t="shared" si="24"/>
        <v>-5.7126501655492588</v>
      </c>
      <c r="I89" s="43">
        <f t="shared" si="25"/>
        <v>-4.0856207306205761E-14</v>
      </c>
      <c r="J89" s="37"/>
      <c r="K89" s="37"/>
      <c r="L89" s="37"/>
      <c r="M89" s="37"/>
      <c r="N89" s="37"/>
      <c r="O89" s="37"/>
    </row>
    <row r="90" spans="1:15" x14ac:dyDescent="0.25">
      <c r="A90" s="41">
        <f t="shared" si="21"/>
        <v>262144</v>
      </c>
      <c r="B90" s="42">
        <v>4.9591064453125E-5</v>
      </c>
      <c r="C90" s="42">
        <v>-5.7126501655494204</v>
      </c>
      <c r="D90" s="42">
        <f t="shared" si="22"/>
        <v>-0.33088235294117646</v>
      </c>
      <c r="E90" s="42">
        <f t="shared" si="23"/>
        <v>-0.14556962025316456</v>
      </c>
      <c r="F90" s="42">
        <f t="shared" si="20"/>
        <v>1.2079226507921703E-13</v>
      </c>
      <c r="G90" s="42">
        <f t="shared" si="26"/>
        <v>-1.0717352931048178E-14</v>
      </c>
      <c r="H90" s="42">
        <f t="shared" si="24"/>
        <v>-5.7126501655494311</v>
      </c>
      <c r="I90" s="43">
        <f t="shared" si="25"/>
        <v>1.3145040611561853E-13</v>
      </c>
      <c r="J90" s="37"/>
      <c r="K90" s="37"/>
      <c r="L90" s="37"/>
      <c r="M90" s="37"/>
      <c r="N90" s="37"/>
      <c r="O90" s="37"/>
    </row>
    <row r="91" spans="1:15" ht="15.75" thickBot="1" x14ac:dyDescent="0.3">
      <c r="A91" s="44">
        <f t="shared" si="21"/>
        <v>524288</v>
      </c>
      <c r="B91" s="45">
        <v>2.47955322265625E-5</v>
      </c>
      <c r="C91" s="45">
        <v>-5.7126501655492801</v>
      </c>
      <c r="D91" s="45">
        <f t="shared" si="22"/>
        <v>-6.1818181818181817</v>
      </c>
      <c r="E91" s="45">
        <f>(C101-C90)/(C101-C91)</f>
        <v>1.0000000000000246</v>
      </c>
      <c r="F91" s="45">
        <f t="shared" si="20"/>
        <v>-1.9539925233402755E-14</v>
      </c>
      <c r="G91" s="45">
        <f t="shared" si="26"/>
        <v>9.3554793541746523E-15</v>
      </c>
      <c r="H91" s="45">
        <f t="shared" si="24"/>
        <v>-5.7126501655492703</v>
      </c>
      <c r="I91" s="46">
        <f t="shared" si="25"/>
        <v>-2.9309887850104133E-14</v>
      </c>
      <c r="J91" s="37"/>
      <c r="K91" s="37"/>
      <c r="L91" s="37"/>
      <c r="M91" s="37"/>
      <c r="N91" s="37"/>
      <c r="O91" s="37"/>
    </row>
    <row r="92" spans="1:15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</row>
    <row r="93" spans="1:15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</row>
    <row r="94" spans="1:15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</row>
    <row r="95" spans="1:15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</row>
    <row r="96" spans="1:15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</row>
    <row r="97" spans="1:15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</row>
    <row r="98" spans="1:15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</row>
    <row r="99" spans="1:15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</row>
    <row r="100" spans="1:15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</row>
    <row r="101" spans="1:15" x14ac:dyDescent="0.25">
      <c r="A101" s="47"/>
      <c r="B101" s="48"/>
      <c r="C101" s="48"/>
      <c r="D101" s="48"/>
      <c r="E101" s="48"/>
      <c r="F101" s="48"/>
      <c r="G101" s="48"/>
      <c r="H101" s="48"/>
      <c r="I101" s="48"/>
      <c r="J101" s="37"/>
      <c r="K101" s="37"/>
      <c r="L101" s="37"/>
      <c r="M101" s="37"/>
      <c r="N101" s="37"/>
      <c r="O101" s="37"/>
    </row>
    <row r="102" spans="1:15" x14ac:dyDescent="0.25">
      <c r="A102" s="47"/>
      <c r="B102" s="48"/>
      <c r="C102" s="48"/>
      <c r="D102" s="48"/>
      <c r="E102" s="48"/>
      <c r="F102" s="48"/>
      <c r="G102" s="48"/>
      <c r="H102" s="48"/>
      <c r="I102" s="48"/>
      <c r="J102" s="37"/>
      <c r="K102" s="37"/>
      <c r="L102" s="37"/>
      <c r="M102" s="37"/>
      <c r="N102" s="37"/>
      <c r="O102" s="37"/>
    </row>
    <row r="103" spans="1:15" x14ac:dyDescent="0.25">
      <c r="A103" s="24"/>
      <c r="B103" s="25"/>
      <c r="C103" s="25"/>
      <c r="D103" s="25"/>
      <c r="E103" s="25"/>
      <c r="F103" s="25"/>
      <c r="G103" s="25"/>
      <c r="H103" s="25"/>
      <c r="I103" s="25"/>
    </row>
    <row r="104" spans="1:15" x14ac:dyDescent="0.25">
      <c r="A104" s="24"/>
      <c r="B104" s="25"/>
      <c r="C104" s="25"/>
      <c r="D104" s="25"/>
      <c r="E104" s="25"/>
      <c r="F104" s="25"/>
      <c r="G104" s="25"/>
      <c r="H104" s="25"/>
      <c r="I104" s="25"/>
    </row>
    <row r="105" spans="1:15" x14ac:dyDescent="0.25">
      <c r="A105" s="24"/>
      <c r="B105" s="25"/>
      <c r="C105" s="25"/>
      <c r="D105" s="25"/>
      <c r="E105" s="25"/>
      <c r="F105" s="25"/>
      <c r="G105" s="25"/>
      <c r="H105" s="25"/>
      <c r="I105" s="25"/>
    </row>
    <row r="106" spans="1:15" x14ac:dyDescent="0.25">
      <c r="A106" s="24"/>
      <c r="B106" s="25"/>
      <c r="C106" s="25"/>
      <c r="D106" s="25"/>
      <c r="E106" s="25"/>
      <c r="F106" s="25"/>
      <c r="G106" s="25"/>
      <c r="H106" s="25"/>
      <c r="I106" s="25"/>
    </row>
    <row r="107" spans="1:15" x14ac:dyDescent="0.25">
      <c r="A107" s="24"/>
      <c r="B107" s="25"/>
      <c r="C107" s="25"/>
      <c r="D107" s="25"/>
      <c r="E107" s="25"/>
      <c r="F107" s="25"/>
      <c r="G107" s="25"/>
      <c r="H107" s="25"/>
      <c r="I107" s="25"/>
    </row>
    <row r="108" spans="1:15" x14ac:dyDescent="0.25">
      <c r="A108" s="24"/>
      <c r="B108" s="26"/>
      <c r="C108" s="26"/>
      <c r="D108" s="25"/>
      <c r="E108" s="25"/>
      <c r="F108" s="25"/>
      <c r="G108" s="25"/>
      <c r="H108" s="25"/>
      <c r="I108" s="25"/>
    </row>
  </sheetData>
  <mergeCells count="12">
    <mergeCell ref="A67:I67"/>
    <mergeCell ref="A68:I68"/>
    <mergeCell ref="A69:I69"/>
    <mergeCell ref="A1:I1"/>
    <mergeCell ref="A2:I2"/>
    <mergeCell ref="A3:I3"/>
    <mergeCell ref="A4:I4"/>
    <mergeCell ref="A66:I66"/>
    <mergeCell ref="A38:I38"/>
    <mergeCell ref="A39:I39"/>
    <mergeCell ref="A40:I40"/>
    <mergeCell ref="A41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Верификация</vt:lpstr>
      <vt:lpstr>Прямоугольники</vt:lpstr>
      <vt:lpstr>Симпсон</vt:lpstr>
      <vt:lpstr>Ньютон Котес 4</vt:lpstr>
      <vt:lpstr>Двойная точность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Буров</dc:creator>
  <cp:lastModifiedBy>Евгений Буров</cp:lastModifiedBy>
  <dcterms:created xsi:type="dcterms:W3CDTF">2015-06-05T18:17:20Z</dcterms:created>
  <dcterms:modified xsi:type="dcterms:W3CDTF">2025-05-12T08:31:51Z</dcterms:modified>
</cp:coreProperties>
</file>